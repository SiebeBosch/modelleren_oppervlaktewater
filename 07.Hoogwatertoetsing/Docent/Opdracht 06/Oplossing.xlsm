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30" windowWidth="20835" windowHeight="10260" activeTab="1"/>
  </bookViews>
  <sheets>
    <sheet name="Leesmij" sheetId="5" r:id="rId1"/>
    <sheet name="Resultaat" sheetId="6" r:id="rId2"/>
  </sheets>
  <functionGroups/>
  <calcPr calcId="125725"/>
</workbook>
</file>

<file path=xl/calcChain.xml><?xml version="1.0" encoding="utf-8"?>
<calcChain xmlns="http://schemas.openxmlformats.org/spreadsheetml/2006/main">
  <c r="H7" i="6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6"/>
  <c r="J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F3"/>
  <c r="F2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6"/>
  <c r="D7"/>
  <c r="E7" s="1"/>
  <c r="F7" s="1"/>
  <c r="D8"/>
  <c r="E8" s="1"/>
  <c r="F8" s="1"/>
  <c r="D9"/>
  <c r="E9" s="1"/>
  <c r="F9" s="1"/>
  <c r="D10"/>
  <c r="E10" s="1"/>
  <c r="F10" s="1"/>
  <c r="D11"/>
  <c r="E11" s="1"/>
  <c r="F11" s="1"/>
  <c r="D12"/>
  <c r="E12" s="1"/>
  <c r="F12" s="1"/>
  <c r="D13"/>
  <c r="E13" s="1"/>
  <c r="F13" s="1"/>
  <c r="D14"/>
  <c r="E14" s="1"/>
  <c r="F14" s="1"/>
  <c r="D15"/>
  <c r="E15" s="1"/>
  <c r="F15" s="1"/>
  <c r="D16"/>
  <c r="E16" s="1"/>
  <c r="F16" s="1"/>
  <c r="D17"/>
  <c r="E17" s="1"/>
  <c r="F17" s="1"/>
  <c r="D18"/>
  <c r="E18" s="1"/>
  <c r="F18" s="1"/>
  <c r="D19"/>
  <c r="E19" s="1"/>
  <c r="F19" s="1"/>
  <c r="D20"/>
  <c r="E20" s="1"/>
  <c r="F20" s="1"/>
  <c r="D21"/>
  <c r="E21" s="1"/>
  <c r="F21" s="1"/>
  <c r="D22"/>
  <c r="E22" s="1"/>
  <c r="F22" s="1"/>
  <c r="D23"/>
  <c r="E23" s="1"/>
  <c r="F23" s="1"/>
  <c r="D24"/>
  <c r="E24" s="1"/>
  <c r="F24" s="1"/>
  <c r="D25"/>
  <c r="E25" s="1"/>
  <c r="F25" s="1"/>
  <c r="D26"/>
  <c r="E26" s="1"/>
  <c r="F26" s="1"/>
  <c r="D27"/>
  <c r="E27" s="1"/>
  <c r="F27" s="1"/>
  <c r="D28"/>
  <c r="E28" s="1"/>
  <c r="F28" s="1"/>
  <c r="D29"/>
  <c r="E29" s="1"/>
  <c r="F29" s="1"/>
  <c r="D30"/>
  <c r="E30" s="1"/>
  <c r="F30" s="1"/>
  <c r="D31"/>
  <c r="E31" s="1"/>
  <c r="F31" s="1"/>
  <c r="D32"/>
  <c r="E32" s="1"/>
  <c r="F32" s="1"/>
  <c r="D33"/>
  <c r="E33" s="1"/>
  <c r="F33" s="1"/>
  <c r="D34"/>
  <c r="E34" s="1"/>
  <c r="F34" s="1"/>
  <c r="D35"/>
  <c r="E35" s="1"/>
  <c r="F35" s="1"/>
  <c r="D36"/>
  <c r="E36" s="1"/>
  <c r="F36" s="1"/>
  <c r="D37"/>
  <c r="E37" s="1"/>
  <c r="F37" s="1"/>
  <c r="D38"/>
  <c r="E38" s="1"/>
  <c r="F38" s="1"/>
  <c r="D39"/>
  <c r="E39" s="1"/>
  <c r="F39" s="1"/>
  <c r="D40"/>
  <c r="E40" s="1"/>
  <c r="F40" s="1"/>
  <c r="D41"/>
  <c r="E41" s="1"/>
  <c r="F41" s="1"/>
  <c r="D42"/>
  <c r="E42" s="1"/>
  <c r="F42" s="1"/>
  <c r="D43"/>
  <c r="E43" s="1"/>
  <c r="F43" s="1"/>
  <c r="D44"/>
  <c r="E44" s="1"/>
  <c r="F44" s="1"/>
  <c r="D45"/>
  <c r="E45" s="1"/>
  <c r="F45" s="1"/>
  <c r="D46"/>
  <c r="E46" s="1"/>
  <c r="F46" s="1"/>
  <c r="D47"/>
  <c r="E47" s="1"/>
  <c r="F47" s="1"/>
  <c r="D48"/>
  <c r="E48" s="1"/>
  <c r="F48" s="1"/>
  <c r="D49"/>
  <c r="E49" s="1"/>
  <c r="F49" s="1"/>
  <c r="D50"/>
  <c r="E50" s="1"/>
  <c r="F50" s="1"/>
  <c r="D51"/>
  <c r="E51" s="1"/>
  <c r="F51" s="1"/>
  <c r="D52"/>
  <c r="E52" s="1"/>
  <c r="F52" s="1"/>
  <c r="D53"/>
  <c r="E53" s="1"/>
  <c r="F53" s="1"/>
  <c r="D54"/>
  <c r="E54" s="1"/>
  <c r="F54" s="1"/>
  <c r="D55"/>
  <c r="E55" s="1"/>
  <c r="F55" s="1"/>
  <c r="D56"/>
  <c r="E56" s="1"/>
  <c r="F56" s="1"/>
  <c r="D57"/>
  <c r="E57" s="1"/>
  <c r="F57" s="1"/>
  <c r="D58"/>
  <c r="E58" s="1"/>
  <c r="F58" s="1"/>
  <c r="D59"/>
  <c r="E59" s="1"/>
  <c r="F59" s="1"/>
  <c r="D60"/>
  <c r="E60" s="1"/>
  <c r="F60" s="1"/>
  <c r="D61"/>
  <c r="E61" s="1"/>
  <c r="F61" s="1"/>
  <c r="D62"/>
  <c r="E62" s="1"/>
  <c r="F62" s="1"/>
  <c r="D63"/>
  <c r="E63" s="1"/>
  <c r="F63" s="1"/>
  <c r="D64"/>
  <c r="E64" s="1"/>
  <c r="F64" s="1"/>
  <c r="D65"/>
  <c r="E65" s="1"/>
  <c r="F65" s="1"/>
  <c r="D66"/>
  <c r="E66" s="1"/>
  <c r="F66" s="1"/>
  <c r="D67"/>
  <c r="E67" s="1"/>
  <c r="F67" s="1"/>
  <c r="D68"/>
  <c r="E68" s="1"/>
  <c r="F68" s="1"/>
  <c r="D69"/>
  <c r="E69" s="1"/>
  <c r="F69" s="1"/>
  <c r="D70"/>
  <c r="E70" s="1"/>
  <c r="F70" s="1"/>
  <c r="D71"/>
  <c r="E71" s="1"/>
  <c r="F71" s="1"/>
  <c r="D72"/>
  <c r="E72" s="1"/>
  <c r="F72" s="1"/>
  <c r="D73"/>
  <c r="E73" s="1"/>
  <c r="F73" s="1"/>
  <c r="D74"/>
  <c r="E74" s="1"/>
  <c r="F74" s="1"/>
  <c r="D75"/>
  <c r="E75" s="1"/>
  <c r="F75" s="1"/>
  <c r="D76"/>
  <c r="E76" s="1"/>
  <c r="F76" s="1"/>
  <c r="D77"/>
  <c r="E77" s="1"/>
  <c r="F77" s="1"/>
  <c r="D78"/>
  <c r="E78" s="1"/>
  <c r="F78" s="1"/>
  <c r="D79"/>
  <c r="E79" s="1"/>
  <c r="F79" s="1"/>
  <c r="D80"/>
  <c r="E80" s="1"/>
  <c r="F80" s="1"/>
  <c r="D81"/>
  <c r="E81" s="1"/>
  <c r="F81" s="1"/>
  <c r="D82"/>
  <c r="E82" s="1"/>
  <c r="F82" s="1"/>
  <c r="D83"/>
  <c r="E83" s="1"/>
  <c r="F83" s="1"/>
  <c r="D84"/>
  <c r="E84" s="1"/>
  <c r="F84" s="1"/>
  <c r="D85"/>
  <c r="E85" s="1"/>
  <c r="F85" s="1"/>
  <c r="D86"/>
  <c r="E86" s="1"/>
  <c r="F86" s="1"/>
  <c r="D87"/>
  <c r="E87" s="1"/>
  <c r="F87" s="1"/>
  <c r="D88"/>
  <c r="E88" s="1"/>
  <c r="F88" s="1"/>
  <c r="D89"/>
  <c r="E89" s="1"/>
  <c r="F89" s="1"/>
  <c r="D90"/>
  <c r="E90" s="1"/>
  <c r="F90" s="1"/>
  <c r="D91"/>
  <c r="E91" s="1"/>
  <c r="F91" s="1"/>
  <c r="D92"/>
  <c r="E92" s="1"/>
  <c r="F92" s="1"/>
  <c r="D93"/>
  <c r="E93" s="1"/>
  <c r="F93" s="1"/>
  <c r="D94"/>
  <c r="E94" s="1"/>
  <c r="F94" s="1"/>
  <c r="D95"/>
  <c r="E95" s="1"/>
  <c r="F95" s="1"/>
  <c r="D96"/>
  <c r="E96" s="1"/>
  <c r="F96" s="1"/>
  <c r="D97"/>
  <c r="E97" s="1"/>
  <c r="F97" s="1"/>
  <c r="D98"/>
  <c r="E98" s="1"/>
  <c r="F98" s="1"/>
  <c r="D99"/>
  <c r="E99" s="1"/>
  <c r="F99" s="1"/>
  <c r="D100"/>
  <c r="E100" s="1"/>
  <c r="F100" s="1"/>
  <c r="D101"/>
  <c r="E101" s="1"/>
  <c r="F101" s="1"/>
  <c r="D102"/>
  <c r="E102" s="1"/>
  <c r="F102" s="1"/>
  <c r="D103"/>
  <c r="E103" s="1"/>
  <c r="F103" s="1"/>
  <c r="D104"/>
  <c r="E104" s="1"/>
  <c r="F104" s="1"/>
  <c r="D105"/>
  <c r="E105" s="1"/>
  <c r="F105" s="1"/>
  <c r="D106"/>
  <c r="E106" s="1"/>
  <c r="F106" s="1"/>
  <c r="D107"/>
  <c r="E107" s="1"/>
  <c r="F107" s="1"/>
  <c r="D108"/>
  <c r="E108" s="1"/>
  <c r="F108" s="1"/>
  <c r="D109"/>
  <c r="E109" s="1"/>
  <c r="F109" s="1"/>
  <c r="D110"/>
  <c r="E110" s="1"/>
  <c r="F110" s="1"/>
  <c r="D111"/>
  <c r="E111" s="1"/>
  <c r="F111" s="1"/>
  <c r="D112"/>
  <c r="E112" s="1"/>
  <c r="F112" s="1"/>
  <c r="D113"/>
  <c r="E113" s="1"/>
  <c r="F113" s="1"/>
  <c r="D114"/>
  <c r="E114" s="1"/>
  <c r="F114" s="1"/>
  <c r="D6"/>
  <c r="E6" s="1"/>
  <c r="F6" s="1"/>
  <c r="C8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7"/>
  <c r="I6" l="1"/>
</calcChain>
</file>

<file path=xl/sharedStrings.xml><?xml version="1.0" encoding="utf-8"?>
<sst xmlns="http://schemas.openxmlformats.org/spreadsheetml/2006/main" count="17" uniqueCount="17">
  <si>
    <t>jaar</t>
  </si>
  <si>
    <t>neerslagmaximum</t>
  </si>
  <si>
    <t>i</t>
  </si>
  <si>
    <t>p</t>
  </si>
  <si>
    <t>H</t>
  </si>
  <si>
    <t>Volume</t>
  </si>
  <si>
    <t>Ov.Freq</t>
  </si>
  <si>
    <t>mu</t>
  </si>
  <si>
    <t>sigma</t>
  </si>
  <si>
    <t>schatting</t>
  </si>
  <si>
    <t>optimaal</t>
  </si>
  <si>
    <t>p gumbel</t>
  </si>
  <si>
    <t>H gumbel</t>
  </si>
  <si>
    <t>1. schat de eerste mu en sigma door de standaardfuncties uit Excel te gebruiken (gemiddelde en stdev)</t>
  </si>
  <si>
    <t>2. schrijf een functie voor de overschrijdingskans gegeven de Gumbel kvd GUMBELVERDELINGSFUNCTIE = e ^ (-1 * e ^ ((mu - X) / sigma))</t>
  </si>
  <si>
    <t>3. bereken de herhalingstijd en voeg de plot toe aan de bestaande grafiek (als lijn)</t>
  </si>
  <si>
    <t>4. optimaliseer mu en sigma handmatig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</si>
</sst>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Regenduurlijn uurneerslagsom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Resultaat!$G$5</c:f>
              <c:strCache>
                <c:ptCount val="1"/>
                <c:pt idx="0">
                  <c:v>Volume</c:v>
                </c:pt>
              </c:strCache>
            </c:strRef>
          </c:tx>
          <c:spPr>
            <a:ln w="28575">
              <a:noFill/>
            </a:ln>
          </c:spPr>
          <c:xVal>
            <c:numRef>
              <c:f>Resultaat!$F$6:$F$114</c:f>
              <c:numCache>
                <c:formatCode>General</c:formatCode>
                <c:ptCount val="109"/>
                <c:pt idx="0">
                  <c:v>0.19795371938692208</c:v>
                </c:pt>
                <c:pt idx="1">
                  <c:v>0.2401316321542373</c:v>
                </c:pt>
                <c:pt idx="2">
                  <c:v>0.27014183484107351</c:v>
                </c:pt>
                <c:pt idx="3">
                  <c:v>0.2952745962949721</c:v>
                </c:pt>
                <c:pt idx="4">
                  <c:v>0.31771768075697721</c:v>
                </c:pt>
                <c:pt idx="5">
                  <c:v>0.33846162316420336</c:v>
                </c:pt>
                <c:pt idx="6">
                  <c:v>0.35805034038637668</c:v>
                </c:pt>
                <c:pt idx="7">
                  <c:v>0.37681948781024244</c:v>
                </c:pt>
                <c:pt idx="8">
                  <c:v>0.39499340107857067</c:v>
                </c:pt>
                <c:pt idx="9">
                  <c:v>0.41273110285942827</c:v>
                </c:pt>
                <c:pt idx="10">
                  <c:v>0.43015060697008478</c:v>
                </c:pt>
                <c:pt idx="11">
                  <c:v>0.44734281869157477</c:v>
                </c:pt>
                <c:pt idx="12">
                  <c:v>0.46437998914859763</c:v>
                </c:pt>
                <c:pt idx="13">
                  <c:v>0.48132111699745539</c:v>
                </c:pt>
                <c:pt idx="14">
                  <c:v>0.49821554233782339</c:v>
                </c:pt>
                <c:pt idx="15">
                  <c:v>0.51510542071237031</c:v>
                </c:pt>
                <c:pt idx="16">
                  <c:v>0.5320274766970039</c:v>
                </c:pt>
                <c:pt idx="17">
                  <c:v>0.54901427905212619</c:v>
                </c:pt>
                <c:pt idx="18">
                  <c:v>0.56609518934307146</c:v>
                </c:pt>
                <c:pt idx="19">
                  <c:v>0.58329708240603828</c:v>
                </c:pt>
                <c:pt idx="20">
                  <c:v>0.60064490412668115</c:v>
                </c:pt>
                <c:pt idx="21">
                  <c:v>0.61816211116236386</c:v>
                </c:pt>
                <c:pt idx="22">
                  <c:v>0.63587102369968662</c:v>
                </c:pt>
                <c:pt idx="23">
                  <c:v>0.65379311333598955</c:v>
                </c:pt>
                <c:pt idx="24">
                  <c:v>0.67194924206306894</c:v>
                </c:pt>
                <c:pt idx="25">
                  <c:v>0.69035986410739747</c:v>
                </c:pt>
                <c:pt idx="26">
                  <c:v>0.70904519941327915</c:v>
                </c:pt>
                <c:pt idx="27">
                  <c:v>0.72802538543965911</c:v>
                </c:pt>
                <c:pt idx="28">
                  <c:v>0.74732061241386694</c:v>
                </c:pt>
                <c:pt idx="29">
                  <c:v>0.76695124607086007</c:v>
                </c:pt>
                <c:pt idx="30">
                  <c:v>0.78693794108584558</c:v>
                </c:pt>
                <c:pt idx="31">
                  <c:v>0.80730174780006492</c:v>
                </c:pt>
                <c:pt idx="32">
                  <c:v>0.82806421438741273</c:v>
                </c:pt>
                <c:pt idx="33">
                  <c:v>0.84924748627359059</c:v>
                </c:pt>
                <c:pt idx="34">
                  <c:v>0.8708744043714044</c:v>
                </c:pt>
                <c:pt idx="35">
                  <c:v>0.89296860351532747</c:v>
                </c:pt>
                <c:pt idx="36">
                  <c:v>0.91555461235105007</c:v>
                </c:pt>
                <c:pt idx="37">
                  <c:v>0.93865795585090428</c:v>
                </c:pt>
                <c:pt idx="38">
                  <c:v>0.96230526157631968</c:v>
                </c:pt>
                <c:pt idx="39">
                  <c:v>0.98652437078852695</c:v>
                </c:pt>
                <c:pt idx="40">
                  <c:v>1.0113444555149862</c:v>
                </c:pt>
                <c:pt idx="41">
                  <c:v>1.0367961427091628</c:v>
                </c:pt>
                <c:pt idx="42">
                  <c:v>1.0629116466940978</c:v>
                </c:pt>
                <c:pt idx="43">
                  <c:v>1.0897249111553404</c:v>
                </c:pt>
                <c:pt idx="44">
                  <c:v>1.1172717620467092</c:v>
                </c:pt>
                <c:pt idx="45">
                  <c:v>1.1455900728941562</c:v>
                </c:pt>
                <c:pt idx="46">
                  <c:v>1.1747199441306464</c:v>
                </c:pt>
                <c:pt idx="47">
                  <c:v>1.2047038982710554</c:v>
                </c:pt>
                <c:pt idx="48">
                  <c:v>1.235587092944022</c:v>
                </c:pt>
                <c:pt idx="49">
                  <c:v>1.2674175540418331</c:v>
                </c:pt>
                <c:pt idx="50">
                  <c:v>1.3002464315350222</c:v>
                </c:pt>
                <c:pt idx="51">
                  <c:v>1.3341282808319619</c:v>
                </c:pt>
                <c:pt idx="52">
                  <c:v>1.3691213729531806</c:v>
                </c:pt>
                <c:pt idx="53">
                  <c:v>1.4052880372450063</c:v>
                </c:pt>
                <c:pt idx="54">
                  <c:v>1.4426950408889634</c:v>
                </c:pt>
                <c:pt idx="55">
                  <c:v>1.481414010086133</c:v>
                </c:pt>
                <c:pt idx="56">
                  <c:v>1.5215218985264027</c:v>
                </c:pt>
                <c:pt idx="57">
                  <c:v>1.5631015096118022</c:v>
                </c:pt>
                <c:pt idx="58">
                  <c:v>1.6062420799161103</c:v>
                </c:pt>
                <c:pt idx="59">
                  <c:v>1.6510399325603713</c:v>
                </c:pt>
                <c:pt idx="60">
                  <c:v>1.6975992106036111</c:v>
                </c:pt>
                <c:pt idx="61">
                  <c:v>1.7460327022363216</c:v>
                </c:pt>
                <c:pt idx="62">
                  <c:v>1.7964627715786412</c:v>
                </c:pt>
                <c:pt idx="63">
                  <c:v>1.849022411296813</c:v>
                </c:pt>
                <c:pt idx="64">
                  <c:v>1.9038564361492689</c:v>
                </c:pt>
                <c:pt idx="65">
                  <c:v>1.9611228400687259</c:v>
                </c:pt>
                <c:pt idx="66">
                  <c:v>2.0209943436188045</c:v>
                </c:pt>
                <c:pt idx="67">
                  <c:v>2.08366016380959</c:v>
                </c:pt>
                <c:pt idx="68">
                  <c:v>2.1493280445407388</c:v>
                </c:pt>
                <c:pt idx="69">
                  <c:v>2.2182265936498018</c:v>
                </c:pt>
                <c:pt idx="70">
                  <c:v>2.2906079820456462</c:v>
                </c:pt>
                <c:pt idx="71">
                  <c:v>2.3667510721777054</c:v>
                </c:pt>
                <c:pt idx="72">
                  <c:v>2.4469650577494475</c:v>
                </c:pt>
                <c:pt idx="73">
                  <c:v>2.531593714937546</c:v>
                </c:pt>
                <c:pt idx="74">
                  <c:v>2.6210203884916465</c:v>
                </c:pt>
                <c:pt idx="75">
                  <c:v>2.7156738653759809</c:v>
                </c:pt>
                <c:pt idx="76">
                  <c:v>2.8160353259609661</c:v>
                </c:pt>
                <c:pt idx="77">
                  <c:v>2.9226466107232723</c:v>
                </c:pt>
                <c:pt idx="78">
                  <c:v>3.0361201024203521</c:v>
                </c:pt>
                <c:pt idx="79">
                  <c:v>3.1571506045032187</c:v>
                </c:pt>
                <c:pt idx="80">
                  <c:v>3.2865297026664884</c:v>
                </c:pt>
                <c:pt idx="81">
                  <c:v>3.425163237054341</c:v>
                </c:pt>
                <c:pt idx="82">
                  <c:v>3.5740927006607563</c:v>
                </c:pt>
                <c:pt idx="83">
                  <c:v>3.7345216333254938</c:v>
                </c:pt>
                <c:pt idx="84">
                  <c:v>3.9078484270914347</c:v>
                </c:pt>
                <c:pt idx="85">
                  <c:v>4.0957074365835702</c:v>
                </c:pt>
                <c:pt idx="86">
                  <c:v>4.3000209554385194</c:v>
                </c:pt>
                <c:pt idx="87">
                  <c:v>4.5230655639708246</c:v>
                </c:pt>
                <c:pt idx="88">
                  <c:v>4.7675577079229514</c:v>
                </c:pt>
                <c:pt idx="89">
                  <c:v>5.0367653416871558</c:v>
                </c:pt>
                <c:pt idx="90">
                  <c:v>5.3346553927614151</c:v>
                </c:pt>
                <c:pt idx="91">
                  <c:v>5.6660912140369248</c:v>
                </c:pt>
                <c:pt idx="92">
                  <c:v>6.0371009769081976</c:v>
                </c:pt>
                <c:pt idx="93">
                  <c:v>6.4552486348794798</c:v>
                </c:pt>
                <c:pt idx="94">
                  <c:v>6.9301563007685258</c:v>
                </c:pt>
                <c:pt idx="95">
                  <c:v>7.4742554021270617</c:v>
                </c:pt>
                <c:pt idx="96">
                  <c:v>8.103892713115151</c:v>
                </c:pt>
                <c:pt idx="97">
                  <c:v>8.8410035820831627</c:v>
                </c:pt>
                <c:pt idx="98">
                  <c:v>9.7157234174814473</c:v>
                </c:pt>
                <c:pt idx="99">
                  <c:v>10.770614525744451</c:v>
                </c:pt>
                <c:pt idx="100">
                  <c:v>12.067808009642789</c:v>
                </c:pt>
                <c:pt idx="101">
                  <c:v>13.70171078208298</c:v>
                </c:pt>
                <c:pt idx="102">
                  <c:v>15.823091995085845</c:v>
                </c:pt>
                <c:pt idx="103">
                  <c:v>18.688523604348894</c:v>
                </c:pt>
                <c:pt idx="104">
                  <c:v>22.772936547933671</c:v>
                </c:pt>
                <c:pt idx="105">
                  <c:v>29.064700457707879</c:v>
                </c:pt>
                <c:pt idx="106">
                  <c:v>40.016436062552799</c:v>
                </c:pt>
                <c:pt idx="107">
                  <c:v>63.8516360729868</c:v>
                </c:pt>
                <c:pt idx="108">
                  <c:v>155.78517936142521</c:v>
                </c:pt>
              </c:numCache>
            </c:numRef>
          </c:xVal>
          <c:yVal>
            <c:numRef>
              <c:f>Resultaat!$G$6:$G$114</c:f>
              <c:numCache>
                <c:formatCode>General</c:formatCode>
                <c:ptCount val="109"/>
                <c:pt idx="0">
                  <c:v>6.7031999999999998</c:v>
                </c:pt>
                <c:pt idx="1">
                  <c:v>7.7073</c:v>
                </c:pt>
                <c:pt idx="2">
                  <c:v>7.8666</c:v>
                </c:pt>
                <c:pt idx="3">
                  <c:v>8.4121000000000006</c:v>
                </c:pt>
                <c:pt idx="4">
                  <c:v>8.5486000000000004</c:v>
                </c:pt>
                <c:pt idx="5">
                  <c:v>8.8269000000000002</c:v>
                </c:pt>
                <c:pt idx="6">
                  <c:v>8.9243000000000006</c:v>
                </c:pt>
                <c:pt idx="7">
                  <c:v>8.9786999999999999</c:v>
                </c:pt>
                <c:pt idx="8">
                  <c:v>9.0693000000000001</c:v>
                </c:pt>
                <c:pt idx="9">
                  <c:v>9.1788000000000007</c:v>
                </c:pt>
                <c:pt idx="10">
                  <c:v>9.2515000000000001</c:v>
                </c:pt>
                <c:pt idx="11">
                  <c:v>9.3789999999999996</c:v>
                </c:pt>
                <c:pt idx="12">
                  <c:v>9.6216000000000008</c:v>
                </c:pt>
                <c:pt idx="13">
                  <c:v>9.9541000000000004</c:v>
                </c:pt>
                <c:pt idx="14">
                  <c:v>10.173999999999999</c:v>
                </c:pt>
                <c:pt idx="15">
                  <c:v>10.209199999999999</c:v>
                </c:pt>
                <c:pt idx="16">
                  <c:v>10.797800000000001</c:v>
                </c:pt>
                <c:pt idx="17">
                  <c:v>11.1906</c:v>
                </c:pt>
                <c:pt idx="18">
                  <c:v>11.321099999999999</c:v>
                </c:pt>
                <c:pt idx="19">
                  <c:v>11.426500000000001</c:v>
                </c:pt>
                <c:pt idx="20">
                  <c:v>11.6281</c:v>
                </c:pt>
                <c:pt idx="21">
                  <c:v>11.664999999999999</c:v>
                </c:pt>
                <c:pt idx="22">
                  <c:v>11.822100000000001</c:v>
                </c:pt>
                <c:pt idx="23">
                  <c:v>11.916</c:v>
                </c:pt>
                <c:pt idx="24">
                  <c:v>11.9254</c:v>
                </c:pt>
                <c:pt idx="25">
                  <c:v>11.952199999999999</c:v>
                </c:pt>
                <c:pt idx="26">
                  <c:v>12.115500000000001</c:v>
                </c:pt>
                <c:pt idx="27">
                  <c:v>12.1449</c:v>
                </c:pt>
                <c:pt idx="28">
                  <c:v>12.1934</c:v>
                </c:pt>
                <c:pt idx="29">
                  <c:v>12.3127</c:v>
                </c:pt>
                <c:pt idx="30">
                  <c:v>12.358499999999999</c:v>
                </c:pt>
                <c:pt idx="31">
                  <c:v>12.6751</c:v>
                </c:pt>
                <c:pt idx="32">
                  <c:v>12.7591</c:v>
                </c:pt>
                <c:pt idx="33">
                  <c:v>12.978899999999999</c:v>
                </c:pt>
                <c:pt idx="34">
                  <c:v>13.088200000000001</c:v>
                </c:pt>
                <c:pt idx="35">
                  <c:v>13.538399999999999</c:v>
                </c:pt>
                <c:pt idx="36">
                  <c:v>13.5662</c:v>
                </c:pt>
                <c:pt idx="37">
                  <c:v>13.6549</c:v>
                </c:pt>
                <c:pt idx="38">
                  <c:v>14.164099999999999</c:v>
                </c:pt>
                <c:pt idx="39">
                  <c:v>14.4057</c:v>
                </c:pt>
                <c:pt idx="40">
                  <c:v>14.482200000000001</c:v>
                </c:pt>
                <c:pt idx="41">
                  <c:v>14.523999999999999</c:v>
                </c:pt>
                <c:pt idx="42">
                  <c:v>14.694800000000001</c:v>
                </c:pt>
                <c:pt idx="43">
                  <c:v>14.766400000000001</c:v>
                </c:pt>
                <c:pt idx="44">
                  <c:v>14.892899999999999</c:v>
                </c:pt>
                <c:pt idx="45">
                  <c:v>15.1653</c:v>
                </c:pt>
                <c:pt idx="46">
                  <c:v>15.483499999999999</c:v>
                </c:pt>
                <c:pt idx="47">
                  <c:v>15.9055</c:v>
                </c:pt>
                <c:pt idx="48">
                  <c:v>15.936299999999999</c:v>
                </c:pt>
                <c:pt idx="49">
                  <c:v>16.132400000000001</c:v>
                </c:pt>
                <c:pt idx="50">
                  <c:v>16.169499999999999</c:v>
                </c:pt>
                <c:pt idx="51">
                  <c:v>16.211099999999998</c:v>
                </c:pt>
                <c:pt idx="52">
                  <c:v>16.278500000000001</c:v>
                </c:pt>
                <c:pt idx="53">
                  <c:v>16.292100000000001</c:v>
                </c:pt>
                <c:pt idx="54">
                  <c:v>16.313400000000001</c:v>
                </c:pt>
                <c:pt idx="55">
                  <c:v>16.601400000000002</c:v>
                </c:pt>
                <c:pt idx="56">
                  <c:v>16.9391</c:v>
                </c:pt>
                <c:pt idx="57">
                  <c:v>17.167200000000001</c:v>
                </c:pt>
                <c:pt idx="58">
                  <c:v>17.4876</c:v>
                </c:pt>
                <c:pt idx="59">
                  <c:v>17.523299999999999</c:v>
                </c:pt>
                <c:pt idx="60">
                  <c:v>17.6418</c:v>
                </c:pt>
                <c:pt idx="61">
                  <c:v>17.675999999999998</c:v>
                </c:pt>
                <c:pt idx="62">
                  <c:v>18.1219</c:v>
                </c:pt>
                <c:pt idx="63">
                  <c:v>18.146000000000001</c:v>
                </c:pt>
                <c:pt idx="64">
                  <c:v>18.152699999999999</c:v>
                </c:pt>
                <c:pt idx="65">
                  <c:v>18.171800000000001</c:v>
                </c:pt>
                <c:pt idx="66">
                  <c:v>19.1403</c:v>
                </c:pt>
                <c:pt idx="67">
                  <c:v>19.478400000000001</c:v>
                </c:pt>
                <c:pt idx="68">
                  <c:v>19.671700000000001</c:v>
                </c:pt>
                <c:pt idx="69">
                  <c:v>19.8004</c:v>
                </c:pt>
                <c:pt idx="70">
                  <c:v>20.132899999999999</c:v>
                </c:pt>
                <c:pt idx="71">
                  <c:v>20.166699999999999</c:v>
                </c:pt>
                <c:pt idx="72">
                  <c:v>20.573399999999999</c:v>
                </c:pt>
                <c:pt idx="73">
                  <c:v>20.658100000000001</c:v>
                </c:pt>
                <c:pt idx="74">
                  <c:v>20.918700000000001</c:v>
                </c:pt>
                <c:pt idx="75">
                  <c:v>21.005700000000001</c:v>
                </c:pt>
                <c:pt idx="76">
                  <c:v>21.546700000000001</c:v>
                </c:pt>
                <c:pt idx="77">
                  <c:v>21.7499</c:v>
                </c:pt>
                <c:pt idx="78">
                  <c:v>21.8795</c:v>
                </c:pt>
                <c:pt idx="79">
                  <c:v>22.008500000000002</c:v>
                </c:pt>
                <c:pt idx="80">
                  <c:v>22.025200000000002</c:v>
                </c:pt>
                <c:pt idx="81">
                  <c:v>22.389299999999999</c:v>
                </c:pt>
                <c:pt idx="82">
                  <c:v>23.144300000000001</c:v>
                </c:pt>
                <c:pt idx="83">
                  <c:v>23.311</c:v>
                </c:pt>
                <c:pt idx="84">
                  <c:v>23.517199999999999</c:v>
                </c:pt>
                <c:pt idx="85">
                  <c:v>23.552199999999999</c:v>
                </c:pt>
                <c:pt idx="86">
                  <c:v>23.7242</c:v>
                </c:pt>
                <c:pt idx="87">
                  <c:v>23.777999999999999</c:v>
                </c:pt>
                <c:pt idx="88">
                  <c:v>23.8963</c:v>
                </c:pt>
                <c:pt idx="89">
                  <c:v>24.049700000000001</c:v>
                </c:pt>
                <c:pt idx="90">
                  <c:v>24.270900000000001</c:v>
                </c:pt>
                <c:pt idx="91">
                  <c:v>24.274000000000001</c:v>
                </c:pt>
                <c:pt idx="92">
                  <c:v>24.904699999999998</c:v>
                </c:pt>
                <c:pt idx="93">
                  <c:v>25.273199999999999</c:v>
                </c:pt>
                <c:pt idx="94">
                  <c:v>25.907800000000002</c:v>
                </c:pt>
                <c:pt idx="95">
                  <c:v>26.761199999999999</c:v>
                </c:pt>
                <c:pt idx="96">
                  <c:v>26.962</c:v>
                </c:pt>
                <c:pt idx="97">
                  <c:v>27.742599999999999</c:v>
                </c:pt>
                <c:pt idx="98">
                  <c:v>28.072099999999999</c:v>
                </c:pt>
                <c:pt idx="99">
                  <c:v>29.287600000000001</c:v>
                </c:pt>
                <c:pt idx="100">
                  <c:v>29.369599999999998</c:v>
                </c:pt>
                <c:pt idx="101">
                  <c:v>29.6554</c:v>
                </c:pt>
                <c:pt idx="102">
                  <c:v>29.822099999999999</c:v>
                </c:pt>
                <c:pt idx="103">
                  <c:v>31.211300000000001</c:v>
                </c:pt>
                <c:pt idx="104">
                  <c:v>31.617899999999999</c:v>
                </c:pt>
                <c:pt idx="105">
                  <c:v>32.237299999999998</c:v>
                </c:pt>
                <c:pt idx="106">
                  <c:v>35.4069</c:v>
                </c:pt>
                <c:pt idx="107">
                  <c:v>35.770800000000001</c:v>
                </c:pt>
                <c:pt idx="108">
                  <c:v>48.921900000000001</c:v>
                </c:pt>
              </c:numCache>
            </c:numRef>
          </c:yVal>
        </c:ser>
        <c:axId val="83394944"/>
        <c:axId val="83397248"/>
      </c:scatterChart>
      <c:scatterChart>
        <c:scatterStyle val="smoothMarker"/>
        <c:ser>
          <c:idx val="1"/>
          <c:order val="1"/>
          <c:tx>
            <c:v>Fit</c:v>
          </c:tx>
          <c:marker>
            <c:symbol val="none"/>
          </c:marker>
          <c:xVal>
            <c:numRef>
              <c:f>Resultaat!$I$6:$I$114</c:f>
              <c:numCache>
                <c:formatCode>General</c:formatCode>
                <c:ptCount val="109"/>
                <c:pt idx="0">
                  <c:v>0.25087511837931925</c:v>
                </c:pt>
                <c:pt idx="1">
                  <c:v>0.29657652482499625</c:v>
                </c:pt>
                <c:pt idx="2">
                  <c:v>0.30455609157854724</c:v>
                </c:pt>
                <c:pt idx="3">
                  <c:v>0.33354305105621912</c:v>
                </c:pt>
                <c:pt idx="4">
                  <c:v>0.34121812844825083</c:v>
                </c:pt>
                <c:pt idx="5">
                  <c:v>0.35741775473517434</c:v>
                </c:pt>
                <c:pt idx="6">
                  <c:v>0.36326718571501349</c:v>
                </c:pt>
                <c:pt idx="7">
                  <c:v>0.36657578451495992</c:v>
                </c:pt>
                <c:pt idx="8">
                  <c:v>0.37215308148033688</c:v>
                </c:pt>
                <c:pt idx="9">
                  <c:v>0.37900722907693363</c:v>
                </c:pt>
                <c:pt idx="10">
                  <c:v>0.38362746775589029</c:v>
                </c:pt>
                <c:pt idx="11">
                  <c:v>0.39186678413739784</c:v>
                </c:pt>
                <c:pt idx="12">
                  <c:v>0.40803594825139361</c:v>
                </c:pt>
                <c:pt idx="13">
                  <c:v>0.43128621673269035</c:v>
                </c:pt>
                <c:pt idx="14">
                  <c:v>0.44738608455201728</c:v>
                </c:pt>
                <c:pt idx="15">
                  <c:v>0.45001846367677267</c:v>
                </c:pt>
                <c:pt idx="16">
                  <c:v>0.49640325589084083</c:v>
                </c:pt>
                <c:pt idx="17">
                  <c:v>0.52998848451616609</c:v>
                </c:pt>
                <c:pt idx="18">
                  <c:v>0.54164200670815743</c:v>
                </c:pt>
                <c:pt idx="19">
                  <c:v>0.55124091486173799</c:v>
                </c:pt>
                <c:pt idx="20">
                  <c:v>0.5700772885869797</c:v>
                </c:pt>
                <c:pt idx="21">
                  <c:v>0.57359406692072712</c:v>
                </c:pt>
                <c:pt idx="22">
                  <c:v>0.58881101747400355</c:v>
                </c:pt>
                <c:pt idx="23">
                  <c:v>0.59809839406276155</c:v>
                </c:pt>
                <c:pt idx="24">
                  <c:v>0.59903614926322779</c:v>
                </c:pt>
                <c:pt idx="25">
                  <c:v>0.60171782868878165</c:v>
                </c:pt>
                <c:pt idx="26">
                  <c:v>0.61831947825161526</c:v>
                </c:pt>
                <c:pt idx="27">
                  <c:v>0.62135667875936229</c:v>
                </c:pt>
                <c:pt idx="28">
                  <c:v>0.62639966652908141</c:v>
                </c:pt>
                <c:pt idx="29">
                  <c:v>0.63897922725999023</c:v>
                </c:pt>
                <c:pt idx="30">
                  <c:v>0.64387543210233156</c:v>
                </c:pt>
                <c:pt idx="31">
                  <c:v>0.6787629468729236</c:v>
                </c:pt>
                <c:pt idx="32">
                  <c:v>0.68833245840838153</c:v>
                </c:pt>
                <c:pt idx="33">
                  <c:v>0.71401593426058141</c:v>
                </c:pt>
                <c:pt idx="34">
                  <c:v>0.72714211920924654</c:v>
                </c:pt>
                <c:pt idx="35">
                  <c:v>0.78380109200393622</c:v>
                </c:pt>
                <c:pt idx="36">
                  <c:v>0.78744112997289128</c:v>
                </c:pt>
                <c:pt idx="37">
                  <c:v>0.79916860669351153</c:v>
                </c:pt>
                <c:pt idx="38">
                  <c:v>0.86995249987690115</c:v>
                </c:pt>
                <c:pt idx="39">
                  <c:v>0.90569742202030679</c:v>
                </c:pt>
                <c:pt idx="40">
                  <c:v>0.91731899423839669</c:v>
                </c:pt>
                <c:pt idx="41">
                  <c:v>0.92373196246678613</c:v>
                </c:pt>
                <c:pt idx="42">
                  <c:v>0.95040538280246167</c:v>
                </c:pt>
                <c:pt idx="43">
                  <c:v>0.96181482799758133</c:v>
                </c:pt>
                <c:pt idx="44">
                  <c:v>0.98230836756301865</c:v>
                </c:pt>
                <c:pt idx="45">
                  <c:v>1.0279330104728814</c:v>
                </c:pt>
                <c:pt idx="46">
                  <c:v>1.0839191694762031</c:v>
                </c:pt>
                <c:pt idx="47">
                  <c:v>1.1628997457317174</c:v>
                </c:pt>
                <c:pt idx="48">
                  <c:v>1.1688846458610804</c:v>
                </c:pt>
                <c:pt idx="49">
                  <c:v>1.207718851177656</c:v>
                </c:pt>
                <c:pt idx="50">
                  <c:v>1.2152097147939025</c:v>
                </c:pt>
                <c:pt idx="51">
                  <c:v>1.2236644446777432</c:v>
                </c:pt>
                <c:pt idx="52">
                  <c:v>1.2374877709277985</c:v>
                </c:pt>
                <c:pt idx="53">
                  <c:v>1.2402959245804017</c:v>
                </c:pt>
                <c:pt idx="54">
                  <c:v>1.2447067997838119</c:v>
                </c:pt>
                <c:pt idx="55">
                  <c:v>1.3059098488160064</c:v>
                </c:pt>
                <c:pt idx="56">
                  <c:v>1.3815186061009799</c:v>
                </c:pt>
                <c:pt idx="57">
                  <c:v>1.4350504422679142</c:v>
                </c:pt>
                <c:pt idx="58">
                  <c:v>1.5137651135292791</c:v>
                </c:pt>
                <c:pt idx="59">
                  <c:v>1.5227988647131177</c:v>
                </c:pt>
                <c:pt idx="60">
                  <c:v>1.5531731005557019</c:v>
                </c:pt>
                <c:pt idx="61">
                  <c:v>1.5620514665337437</c:v>
                </c:pt>
                <c:pt idx="62">
                  <c:v>1.6825603761318579</c:v>
                </c:pt>
                <c:pt idx="63">
                  <c:v>1.6893322513875619</c:v>
                </c:pt>
                <c:pt idx="64">
                  <c:v>1.6912197260454971</c:v>
                </c:pt>
                <c:pt idx="65">
                  <c:v>1.6966120203549009</c:v>
                </c:pt>
                <c:pt idx="66">
                  <c:v>1.9938152215119302</c:v>
                </c:pt>
                <c:pt idx="67">
                  <c:v>2.1093925182659898</c:v>
                </c:pt>
                <c:pt idx="68">
                  <c:v>2.1784566484802594</c:v>
                </c:pt>
                <c:pt idx="69">
                  <c:v>2.2256893028334566</c:v>
                </c:pt>
                <c:pt idx="70">
                  <c:v>2.3525111528900258</c:v>
                </c:pt>
                <c:pt idx="71">
                  <c:v>2.3658010303940542</c:v>
                </c:pt>
                <c:pt idx="72">
                  <c:v>2.5317227503384432</c:v>
                </c:pt>
                <c:pt idx="73">
                  <c:v>2.5677156889340607</c:v>
                </c:pt>
                <c:pt idx="74">
                  <c:v>2.6816975280643045</c:v>
                </c:pt>
                <c:pt idx="75">
                  <c:v>2.7208654232092799</c:v>
                </c:pt>
                <c:pt idx="76">
                  <c:v>2.977597200345127</c:v>
                </c:pt>
                <c:pt idx="77">
                  <c:v>3.0801655123983553</c:v>
                </c:pt>
                <c:pt idx="78">
                  <c:v>3.1474208300301667</c:v>
                </c:pt>
                <c:pt idx="79">
                  <c:v>3.2158230670327215</c:v>
                </c:pt>
                <c:pt idx="80">
                  <c:v>3.2247862425354361</c:v>
                </c:pt>
                <c:pt idx="81">
                  <c:v>3.4265365539470962</c:v>
                </c:pt>
                <c:pt idx="82">
                  <c:v>3.8860115895385214</c:v>
                </c:pt>
                <c:pt idx="83">
                  <c:v>3.9954917646208785</c:v>
                </c:pt>
                <c:pt idx="84">
                  <c:v>4.1351902344623213</c:v>
                </c:pt>
                <c:pt idx="85">
                  <c:v>4.1593826701662913</c:v>
                </c:pt>
                <c:pt idx="86">
                  <c:v>4.2803437994130498</c:v>
                </c:pt>
                <c:pt idx="87">
                  <c:v>4.318896803139479</c:v>
                </c:pt>
                <c:pt idx="88">
                  <c:v>4.4048960752878363</c:v>
                </c:pt>
                <c:pt idx="89">
                  <c:v>4.5189665726476704</c:v>
                </c:pt>
                <c:pt idx="90">
                  <c:v>4.6886748755083856</c:v>
                </c:pt>
                <c:pt idx="91">
                  <c:v>4.6910979834430426</c:v>
                </c:pt>
                <c:pt idx="92">
                  <c:v>5.2110602259920258</c:v>
                </c:pt>
                <c:pt idx="93">
                  <c:v>5.5411385827790154</c:v>
                </c:pt>
                <c:pt idx="94">
                  <c:v>6.1593217543286265</c:v>
                </c:pt>
                <c:pt idx="95">
                  <c:v>7.1007470725656709</c:v>
                </c:pt>
                <c:pt idx="96">
                  <c:v>7.3424066229082454</c:v>
                </c:pt>
                <c:pt idx="97">
                  <c:v>8.3625772799951008</c:v>
                </c:pt>
                <c:pt idx="98">
                  <c:v>8.834666286810009</c:v>
                </c:pt>
                <c:pt idx="99">
                  <c:v>10.818597745819716</c:v>
                </c:pt>
                <c:pt idx="100">
                  <c:v>10.967466870249702</c:v>
                </c:pt>
                <c:pt idx="101">
                  <c:v>11.502526037309087</c:v>
                </c:pt>
                <c:pt idx="102">
                  <c:v>11.826585432253792</c:v>
                </c:pt>
                <c:pt idx="103">
                  <c:v>14.907781624986338</c:v>
                </c:pt>
                <c:pt idx="104">
                  <c:v>15.953049465242907</c:v>
                </c:pt>
                <c:pt idx="105">
                  <c:v>17.687944986482133</c:v>
                </c:pt>
                <c:pt idx="106">
                  <c:v>29.998578583810133</c:v>
                </c:pt>
                <c:pt idx="107">
                  <c:v>31.874298646836056</c:v>
                </c:pt>
                <c:pt idx="108">
                  <c:v>285.33102571685481</c:v>
                </c:pt>
              </c:numCache>
            </c:numRef>
          </c:xVal>
          <c:yVal>
            <c:numRef>
              <c:f>Resultaat!$J$6:$J$114</c:f>
              <c:numCache>
                <c:formatCode>General</c:formatCode>
                <c:ptCount val="109"/>
                <c:pt idx="0">
                  <c:v>6.7031999999999998</c:v>
                </c:pt>
                <c:pt idx="1">
                  <c:v>7.7073</c:v>
                </c:pt>
                <c:pt idx="2">
                  <c:v>7.8666</c:v>
                </c:pt>
                <c:pt idx="3">
                  <c:v>8.4121000000000006</c:v>
                </c:pt>
                <c:pt idx="4">
                  <c:v>8.5486000000000004</c:v>
                </c:pt>
                <c:pt idx="5">
                  <c:v>8.8269000000000002</c:v>
                </c:pt>
                <c:pt idx="6">
                  <c:v>8.9243000000000006</c:v>
                </c:pt>
                <c:pt idx="7">
                  <c:v>8.9786999999999999</c:v>
                </c:pt>
                <c:pt idx="8">
                  <c:v>9.0693000000000001</c:v>
                </c:pt>
                <c:pt idx="9">
                  <c:v>9.1788000000000007</c:v>
                </c:pt>
                <c:pt idx="10">
                  <c:v>9.2515000000000001</c:v>
                </c:pt>
                <c:pt idx="11">
                  <c:v>9.3789999999999996</c:v>
                </c:pt>
                <c:pt idx="12">
                  <c:v>9.6216000000000008</c:v>
                </c:pt>
                <c:pt idx="13">
                  <c:v>9.9541000000000004</c:v>
                </c:pt>
                <c:pt idx="14">
                  <c:v>10.173999999999999</c:v>
                </c:pt>
                <c:pt idx="15">
                  <c:v>10.209199999999999</c:v>
                </c:pt>
                <c:pt idx="16">
                  <c:v>10.797800000000001</c:v>
                </c:pt>
                <c:pt idx="17">
                  <c:v>11.1906</c:v>
                </c:pt>
                <c:pt idx="18">
                  <c:v>11.321099999999999</c:v>
                </c:pt>
                <c:pt idx="19">
                  <c:v>11.426500000000001</c:v>
                </c:pt>
                <c:pt idx="20">
                  <c:v>11.6281</c:v>
                </c:pt>
                <c:pt idx="21">
                  <c:v>11.664999999999999</c:v>
                </c:pt>
                <c:pt idx="22">
                  <c:v>11.822100000000001</c:v>
                </c:pt>
                <c:pt idx="23">
                  <c:v>11.916</c:v>
                </c:pt>
                <c:pt idx="24">
                  <c:v>11.9254</c:v>
                </c:pt>
                <c:pt idx="25">
                  <c:v>11.952199999999999</c:v>
                </c:pt>
                <c:pt idx="26">
                  <c:v>12.115500000000001</c:v>
                </c:pt>
                <c:pt idx="27">
                  <c:v>12.1449</c:v>
                </c:pt>
                <c:pt idx="28">
                  <c:v>12.1934</c:v>
                </c:pt>
                <c:pt idx="29">
                  <c:v>12.3127</c:v>
                </c:pt>
                <c:pt idx="30">
                  <c:v>12.358499999999999</c:v>
                </c:pt>
                <c:pt idx="31">
                  <c:v>12.6751</c:v>
                </c:pt>
                <c:pt idx="32">
                  <c:v>12.7591</c:v>
                </c:pt>
                <c:pt idx="33">
                  <c:v>12.978899999999999</c:v>
                </c:pt>
                <c:pt idx="34">
                  <c:v>13.088200000000001</c:v>
                </c:pt>
                <c:pt idx="35">
                  <c:v>13.538399999999999</c:v>
                </c:pt>
                <c:pt idx="36">
                  <c:v>13.5662</c:v>
                </c:pt>
                <c:pt idx="37">
                  <c:v>13.6549</c:v>
                </c:pt>
                <c:pt idx="38">
                  <c:v>14.164099999999999</c:v>
                </c:pt>
                <c:pt idx="39">
                  <c:v>14.4057</c:v>
                </c:pt>
                <c:pt idx="40">
                  <c:v>14.482200000000001</c:v>
                </c:pt>
                <c:pt idx="41">
                  <c:v>14.523999999999999</c:v>
                </c:pt>
                <c:pt idx="42">
                  <c:v>14.694800000000001</c:v>
                </c:pt>
                <c:pt idx="43">
                  <c:v>14.766400000000001</c:v>
                </c:pt>
                <c:pt idx="44">
                  <c:v>14.892899999999999</c:v>
                </c:pt>
                <c:pt idx="45">
                  <c:v>15.1653</c:v>
                </c:pt>
                <c:pt idx="46">
                  <c:v>15.483499999999999</c:v>
                </c:pt>
                <c:pt idx="47">
                  <c:v>15.9055</c:v>
                </c:pt>
                <c:pt idx="48">
                  <c:v>15.936299999999999</c:v>
                </c:pt>
                <c:pt idx="49">
                  <c:v>16.132400000000001</c:v>
                </c:pt>
                <c:pt idx="50">
                  <c:v>16.169499999999999</c:v>
                </c:pt>
                <c:pt idx="51">
                  <c:v>16.211099999999998</c:v>
                </c:pt>
                <c:pt idx="52">
                  <c:v>16.278500000000001</c:v>
                </c:pt>
                <c:pt idx="53">
                  <c:v>16.292100000000001</c:v>
                </c:pt>
                <c:pt idx="54">
                  <c:v>16.313400000000001</c:v>
                </c:pt>
                <c:pt idx="55">
                  <c:v>16.601400000000002</c:v>
                </c:pt>
                <c:pt idx="56">
                  <c:v>16.9391</c:v>
                </c:pt>
                <c:pt idx="57">
                  <c:v>17.167200000000001</c:v>
                </c:pt>
                <c:pt idx="58">
                  <c:v>17.4876</c:v>
                </c:pt>
                <c:pt idx="59">
                  <c:v>17.523299999999999</c:v>
                </c:pt>
                <c:pt idx="60">
                  <c:v>17.6418</c:v>
                </c:pt>
                <c:pt idx="61">
                  <c:v>17.675999999999998</c:v>
                </c:pt>
                <c:pt idx="62">
                  <c:v>18.1219</c:v>
                </c:pt>
                <c:pt idx="63">
                  <c:v>18.146000000000001</c:v>
                </c:pt>
                <c:pt idx="64">
                  <c:v>18.152699999999999</c:v>
                </c:pt>
                <c:pt idx="65">
                  <c:v>18.171800000000001</c:v>
                </c:pt>
                <c:pt idx="66">
                  <c:v>19.1403</c:v>
                </c:pt>
                <c:pt idx="67">
                  <c:v>19.478400000000001</c:v>
                </c:pt>
                <c:pt idx="68">
                  <c:v>19.671700000000001</c:v>
                </c:pt>
                <c:pt idx="69">
                  <c:v>19.8004</c:v>
                </c:pt>
                <c:pt idx="70">
                  <c:v>20.132899999999999</c:v>
                </c:pt>
                <c:pt idx="71">
                  <c:v>20.166699999999999</c:v>
                </c:pt>
                <c:pt idx="72">
                  <c:v>20.573399999999999</c:v>
                </c:pt>
                <c:pt idx="73">
                  <c:v>20.658100000000001</c:v>
                </c:pt>
                <c:pt idx="74">
                  <c:v>20.918700000000001</c:v>
                </c:pt>
                <c:pt idx="75">
                  <c:v>21.005700000000001</c:v>
                </c:pt>
                <c:pt idx="76">
                  <c:v>21.546700000000001</c:v>
                </c:pt>
                <c:pt idx="77">
                  <c:v>21.7499</c:v>
                </c:pt>
                <c:pt idx="78">
                  <c:v>21.8795</c:v>
                </c:pt>
                <c:pt idx="79">
                  <c:v>22.008500000000002</c:v>
                </c:pt>
                <c:pt idx="80">
                  <c:v>22.025200000000002</c:v>
                </c:pt>
                <c:pt idx="81">
                  <c:v>22.389299999999999</c:v>
                </c:pt>
                <c:pt idx="82">
                  <c:v>23.144300000000001</c:v>
                </c:pt>
                <c:pt idx="83">
                  <c:v>23.311</c:v>
                </c:pt>
                <c:pt idx="84">
                  <c:v>23.517199999999999</c:v>
                </c:pt>
                <c:pt idx="85">
                  <c:v>23.552199999999999</c:v>
                </c:pt>
                <c:pt idx="86">
                  <c:v>23.7242</c:v>
                </c:pt>
                <c:pt idx="87">
                  <c:v>23.777999999999999</c:v>
                </c:pt>
                <c:pt idx="88">
                  <c:v>23.8963</c:v>
                </c:pt>
                <c:pt idx="89">
                  <c:v>24.049700000000001</c:v>
                </c:pt>
                <c:pt idx="90">
                  <c:v>24.270900000000001</c:v>
                </c:pt>
                <c:pt idx="91">
                  <c:v>24.274000000000001</c:v>
                </c:pt>
                <c:pt idx="92">
                  <c:v>24.904699999999998</c:v>
                </c:pt>
                <c:pt idx="93">
                  <c:v>25.273199999999999</c:v>
                </c:pt>
                <c:pt idx="94">
                  <c:v>25.907800000000002</c:v>
                </c:pt>
                <c:pt idx="95">
                  <c:v>26.761199999999999</c:v>
                </c:pt>
                <c:pt idx="96">
                  <c:v>26.962</c:v>
                </c:pt>
                <c:pt idx="97">
                  <c:v>27.742599999999999</c:v>
                </c:pt>
                <c:pt idx="98">
                  <c:v>28.072099999999999</c:v>
                </c:pt>
                <c:pt idx="99">
                  <c:v>29.287600000000001</c:v>
                </c:pt>
                <c:pt idx="100">
                  <c:v>29.369599999999998</c:v>
                </c:pt>
                <c:pt idx="101">
                  <c:v>29.6554</c:v>
                </c:pt>
                <c:pt idx="102">
                  <c:v>29.822099999999999</c:v>
                </c:pt>
                <c:pt idx="103">
                  <c:v>31.211300000000001</c:v>
                </c:pt>
                <c:pt idx="104">
                  <c:v>31.617899999999999</c:v>
                </c:pt>
                <c:pt idx="105">
                  <c:v>32.237299999999998</c:v>
                </c:pt>
                <c:pt idx="106">
                  <c:v>35.4069</c:v>
                </c:pt>
                <c:pt idx="107">
                  <c:v>35.770800000000001</c:v>
                </c:pt>
                <c:pt idx="108">
                  <c:v>48.921900000000001</c:v>
                </c:pt>
              </c:numCache>
            </c:numRef>
          </c:yVal>
          <c:smooth val="1"/>
        </c:ser>
        <c:axId val="83394944"/>
        <c:axId val="83397248"/>
      </c:scatterChart>
      <c:valAx>
        <c:axId val="83394944"/>
        <c:scaling>
          <c:logBase val="10"/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Herhalingstijd (jaren)</a:t>
                </a:r>
              </a:p>
            </c:rich>
          </c:tx>
          <c:layout/>
        </c:title>
        <c:numFmt formatCode="General" sourceLinked="1"/>
        <c:tickLblPos val="nextTo"/>
        <c:crossAx val="83397248"/>
        <c:crosses val="autoZero"/>
        <c:crossBetween val="midCat"/>
      </c:valAx>
      <c:valAx>
        <c:axId val="833972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Neerslagvolume (mm)</a:t>
                </a:r>
              </a:p>
            </c:rich>
          </c:tx>
          <c:layout/>
        </c:title>
        <c:numFmt formatCode="General" sourceLinked="1"/>
        <c:tickLblPos val="nextTo"/>
        <c:crossAx val="83394944"/>
        <c:crossesAt val="0.1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4</xdr:row>
      <xdr:rowOff>190499</xdr:rowOff>
    </xdr:from>
    <xdr:to>
      <xdr:col>20</xdr:col>
      <xdr:colOff>133349</xdr:colOff>
      <xdr:row>27</xdr:row>
      <xdr:rowOff>95250</xdr:rowOff>
    </xdr:to>
    <xdr:graphicFrame macro="">
      <xdr:nvGraphicFramePr>
        <xdr:cNvPr id="5" name="Grafiek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/>
  <dimension ref="A2:A5"/>
  <sheetViews>
    <sheetView workbookViewId="0">
      <selection activeCell="A6" sqref="A6"/>
    </sheetView>
  </sheetViews>
  <sheetFormatPr defaultRowHeight="15"/>
  <sheetData>
    <row r="2" spans="1:1">
      <c r="A2" s="2" t="s">
        <v>13</v>
      </c>
    </row>
    <row r="3" spans="1:1">
      <c r="A3" s="2" t="s">
        <v>14</v>
      </c>
    </row>
    <row r="4" spans="1:1">
      <c r="A4" s="2" t="s">
        <v>15</v>
      </c>
    </row>
    <row r="5" spans="1:1">
      <c r="A5" s="2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2"/>
  <dimension ref="A1:J114"/>
  <sheetViews>
    <sheetView tabSelected="1" workbookViewId="0">
      <selection activeCell="M2" sqref="M2"/>
    </sheetView>
  </sheetViews>
  <sheetFormatPr defaultRowHeight="15"/>
  <cols>
    <col min="2" max="2" width="17.7109375" bestFit="1" customWidth="1"/>
    <col min="8" max="8" width="10.5703125" style="2" bestFit="1" customWidth="1"/>
    <col min="9" max="9" width="10.28515625" bestFit="1" customWidth="1"/>
  </cols>
  <sheetData>
    <row r="1" spans="1:10" s="2" customFormat="1">
      <c r="F1" s="2" t="s">
        <v>9</v>
      </c>
      <c r="G1" s="2" t="s">
        <v>10</v>
      </c>
    </row>
    <row r="2" spans="1:10" s="2" customFormat="1">
      <c r="E2" s="2" t="s">
        <v>7</v>
      </c>
      <c r="F2">
        <f>AVERAGE($G$6:$G$114)</f>
        <v>17.952934862385323</v>
      </c>
      <c r="G2" s="2">
        <v>15</v>
      </c>
    </row>
    <row r="3" spans="1:10" s="2" customFormat="1">
      <c r="E3" s="2" t="s">
        <v>8</v>
      </c>
      <c r="F3" s="2">
        <f>STDEV($G$6:$G$114)</f>
        <v>7.3709063930852539</v>
      </c>
      <c r="G3" s="2">
        <v>6</v>
      </c>
    </row>
    <row r="4" spans="1:10" s="2" customFormat="1"/>
    <row r="5" spans="1:10">
      <c r="A5" s="2" t="s">
        <v>0</v>
      </c>
      <c r="B5" s="2" t="s">
        <v>1</v>
      </c>
      <c r="C5" s="2" t="s">
        <v>2</v>
      </c>
      <c r="D5" s="2" t="s">
        <v>3</v>
      </c>
      <c r="E5" s="2" t="s">
        <v>6</v>
      </c>
      <c r="F5" s="2" t="s">
        <v>4</v>
      </c>
      <c r="G5" s="2" t="s">
        <v>5</v>
      </c>
      <c r="H5" s="2" t="s">
        <v>11</v>
      </c>
      <c r="I5" s="2" t="s">
        <v>12</v>
      </c>
      <c r="J5" t="str">
        <f>G5</f>
        <v>Volume</v>
      </c>
    </row>
    <row r="6" spans="1:10">
      <c r="A6" s="1">
        <v>1921</v>
      </c>
      <c r="B6" s="3">
        <v>6.7031999999999998</v>
      </c>
      <c r="C6">
        <v>1</v>
      </c>
      <c r="D6">
        <f>1-(C6-0.3)/(COUNT($B$6:$B$114)+0.4)</f>
        <v>0.99360146252285197</v>
      </c>
      <c r="E6">
        <f>-LN(1-D6)</f>
        <v>5.051685833926622</v>
      </c>
      <c r="F6">
        <f>1/E6</f>
        <v>0.19795371938692208</v>
      </c>
      <c r="G6">
        <f>B6</f>
        <v>6.7031999999999998</v>
      </c>
      <c r="H6" s="2">
        <f>1-GUMBELVERDELINGSFUNCTIE($G$2,$G$3,G6)</f>
        <v>0.9814270108176959</v>
      </c>
      <c r="I6">
        <f>1/(-LN(1-H6))</f>
        <v>0.25087511837931925</v>
      </c>
      <c r="J6" s="2">
        <f>G6</f>
        <v>6.7031999999999998</v>
      </c>
    </row>
    <row r="7" spans="1:10">
      <c r="A7" s="1">
        <v>1933</v>
      </c>
      <c r="B7" s="3">
        <v>7.7073</v>
      </c>
      <c r="C7">
        <f>C6+1</f>
        <v>2</v>
      </c>
      <c r="D7" s="2">
        <f t="shared" ref="D7:D70" si="0">1-(C7-0.3)/(COUNT($B$6:$B$114)+0.4)</f>
        <v>0.98446069469835462</v>
      </c>
      <c r="E7" s="2">
        <f t="shared" ref="E7:E70" si="1">-LN(1-D7)</f>
        <v>4.1643826389257077</v>
      </c>
      <c r="F7" s="2">
        <f t="shared" ref="F7:F70" si="2">1/E7</f>
        <v>0.2401316321542373</v>
      </c>
      <c r="G7" s="2">
        <f t="shared" ref="G7:G70" si="3">B7</f>
        <v>7.7073</v>
      </c>
      <c r="H7" s="2">
        <f t="shared" ref="H7:H70" si="4">1-GUMBELVERDELINGSFUNCTIE($G$2,$G$3,G7)</f>
        <v>0.96567258723209626</v>
      </c>
      <c r="I7" s="2">
        <f t="shared" ref="I7:I70" si="5">1/(-LN(1-H7))</f>
        <v>0.29657652482499625</v>
      </c>
      <c r="J7" s="2">
        <f t="shared" ref="J7:J70" si="6">G7</f>
        <v>7.7073</v>
      </c>
    </row>
    <row r="8" spans="1:10">
      <c r="A8" s="1">
        <v>1922</v>
      </c>
      <c r="B8" s="3">
        <v>7.8666</v>
      </c>
      <c r="C8" s="2">
        <f t="shared" ref="C8:C71" si="7">C7+1</f>
        <v>3</v>
      </c>
      <c r="D8" s="2">
        <f t="shared" si="0"/>
        <v>0.97531992687385738</v>
      </c>
      <c r="E8" s="2">
        <f t="shared" si="1"/>
        <v>3.7017591169775965</v>
      </c>
      <c r="F8" s="2">
        <f t="shared" si="2"/>
        <v>0.27014183484107351</v>
      </c>
      <c r="G8" s="2">
        <f t="shared" si="3"/>
        <v>7.8666</v>
      </c>
      <c r="H8" s="2">
        <f t="shared" si="4"/>
        <v>0.96250198969737677</v>
      </c>
      <c r="I8" s="2">
        <f t="shared" si="5"/>
        <v>0.30455609157854724</v>
      </c>
      <c r="J8" s="2">
        <f t="shared" si="6"/>
        <v>7.8666</v>
      </c>
    </row>
    <row r="9" spans="1:10">
      <c r="A9" s="1">
        <v>1949</v>
      </c>
      <c r="B9" s="3">
        <v>8.4121000000000006</v>
      </c>
      <c r="C9" s="2">
        <f t="shared" si="7"/>
        <v>4</v>
      </c>
      <c r="D9" s="2">
        <f t="shared" si="0"/>
        <v>0.96617915904936014</v>
      </c>
      <c r="E9" s="2">
        <f t="shared" si="1"/>
        <v>3.3866780703377017</v>
      </c>
      <c r="F9" s="2">
        <f t="shared" si="2"/>
        <v>0.2952745962949721</v>
      </c>
      <c r="G9" s="2">
        <f t="shared" si="3"/>
        <v>8.4121000000000006</v>
      </c>
      <c r="H9" s="2">
        <f t="shared" si="4"/>
        <v>0.95011893101416622</v>
      </c>
      <c r="I9" s="2">
        <f t="shared" si="5"/>
        <v>0.33354305105621912</v>
      </c>
      <c r="J9" s="2">
        <f t="shared" si="6"/>
        <v>8.4121000000000006</v>
      </c>
    </row>
    <row r="10" spans="1:10">
      <c r="A10" s="1">
        <v>1923</v>
      </c>
      <c r="B10" s="3">
        <v>8.5486000000000004</v>
      </c>
      <c r="C10" s="2">
        <f t="shared" si="7"/>
        <v>5</v>
      </c>
      <c r="D10" s="2">
        <f t="shared" si="0"/>
        <v>0.95703839122486289</v>
      </c>
      <c r="E10" s="2">
        <f t="shared" si="1"/>
        <v>3.1474483812718681</v>
      </c>
      <c r="F10" s="2">
        <f t="shared" si="2"/>
        <v>0.31771768075697721</v>
      </c>
      <c r="G10" s="2">
        <f t="shared" si="3"/>
        <v>8.5486000000000004</v>
      </c>
      <c r="H10" s="2">
        <f t="shared" si="4"/>
        <v>0.94663908048915202</v>
      </c>
      <c r="I10" s="2">
        <f t="shared" si="5"/>
        <v>0.34121812844825083</v>
      </c>
      <c r="J10" s="2">
        <f t="shared" si="6"/>
        <v>8.5486000000000004</v>
      </c>
    </row>
    <row r="11" spans="1:10">
      <c r="A11" s="1">
        <v>1978</v>
      </c>
      <c r="B11" s="3">
        <v>8.8269000000000002</v>
      </c>
      <c r="C11" s="2">
        <f t="shared" si="7"/>
        <v>6</v>
      </c>
      <c r="D11" s="2">
        <f t="shared" si="0"/>
        <v>0.94789762340036565</v>
      </c>
      <c r="E11" s="2">
        <f t="shared" si="1"/>
        <v>2.9545447151473767</v>
      </c>
      <c r="F11" s="2">
        <f t="shared" si="2"/>
        <v>0.33846162316420336</v>
      </c>
      <c r="G11" s="2">
        <f t="shared" si="3"/>
        <v>8.8269000000000002</v>
      </c>
      <c r="H11" s="2">
        <f t="shared" si="4"/>
        <v>0.93905883939027879</v>
      </c>
      <c r="I11" s="2">
        <f t="shared" si="5"/>
        <v>0.35741775473517434</v>
      </c>
      <c r="J11" s="2">
        <f t="shared" si="6"/>
        <v>8.8269000000000002</v>
      </c>
    </row>
    <row r="12" spans="1:10">
      <c r="A12" s="1">
        <v>1971</v>
      </c>
      <c r="B12" s="3">
        <v>8.9243000000000006</v>
      </c>
      <c r="C12" s="2">
        <f t="shared" si="7"/>
        <v>7</v>
      </c>
      <c r="D12" s="2">
        <f t="shared" si="0"/>
        <v>0.93875685557586841</v>
      </c>
      <c r="E12" s="2">
        <f t="shared" si="1"/>
        <v>2.7929033635909613</v>
      </c>
      <c r="F12" s="2">
        <f t="shared" si="2"/>
        <v>0.35805034038637668</v>
      </c>
      <c r="G12" s="2">
        <f t="shared" si="3"/>
        <v>8.9243000000000006</v>
      </c>
      <c r="H12" s="2">
        <f t="shared" si="4"/>
        <v>0.93625055146201042</v>
      </c>
      <c r="I12" s="2">
        <f t="shared" si="5"/>
        <v>0.36326718571501349</v>
      </c>
      <c r="J12" s="2">
        <f t="shared" si="6"/>
        <v>8.9243000000000006</v>
      </c>
    </row>
    <row r="13" spans="1:10">
      <c r="A13" s="1">
        <v>1976</v>
      </c>
      <c r="B13" s="3">
        <v>8.9786999999999999</v>
      </c>
      <c r="C13" s="2">
        <f t="shared" si="7"/>
        <v>8</v>
      </c>
      <c r="D13" s="2">
        <f t="shared" si="0"/>
        <v>0.92961608775137106</v>
      </c>
      <c r="E13" s="2">
        <f t="shared" si="1"/>
        <v>2.653790561128242</v>
      </c>
      <c r="F13" s="2">
        <f t="shared" si="2"/>
        <v>0.37681948781024244</v>
      </c>
      <c r="G13" s="2">
        <f t="shared" si="3"/>
        <v>8.9786999999999999</v>
      </c>
      <c r="H13" s="2">
        <f t="shared" si="4"/>
        <v>0.93464680031367786</v>
      </c>
      <c r="I13" s="2">
        <f t="shared" si="5"/>
        <v>0.36657578451495992</v>
      </c>
      <c r="J13" s="2">
        <f t="shared" si="6"/>
        <v>8.9786999999999999</v>
      </c>
    </row>
    <row r="14" spans="1:10">
      <c r="A14" s="1">
        <v>1937</v>
      </c>
      <c r="B14" s="3">
        <v>9.0693000000000001</v>
      </c>
      <c r="C14" s="2">
        <f t="shared" si="7"/>
        <v>9</v>
      </c>
      <c r="D14" s="2">
        <f t="shared" si="0"/>
        <v>0.92047531992687381</v>
      </c>
      <c r="E14" s="2">
        <f t="shared" si="1"/>
        <v>2.5316878643273424</v>
      </c>
      <c r="F14" s="2">
        <f t="shared" si="2"/>
        <v>0.39499340107857067</v>
      </c>
      <c r="G14" s="2">
        <f t="shared" si="3"/>
        <v>9.0693000000000001</v>
      </c>
      <c r="H14" s="2">
        <f t="shared" si="4"/>
        <v>0.93191962524415684</v>
      </c>
      <c r="I14" s="2">
        <f t="shared" si="5"/>
        <v>0.37215308148033688</v>
      </c>
      <c r="J14" s="2">
        <f t="shared" si="6"/>
        <v>9.0693000000000001</v>
      </c>
    </row>
    <row r="15" spans="1:10">
      <c r="A15" s="1">
        <v>1929</v>
      </c>
      <c r="B15" s="3">
        <v>9.1788000000000007</v>
      </c>
      <c r="C15" s="2">
        <f t="shared" si="7"/>
        <v>10</v>
      </c>
      <c r="D15" s="2">
        <f t="shared" si="0"/>
        <v>0.91133455210237657</v>
      </c>
      <c r="E15" s="2">
        <f t="shared" si="1"/>
        <v>2.4228850044785433</v>
      </c>
      <c r="F15" s="2">
        <f t="shared" si="2"/>
        <v>0.41273110285942827</v>
      </c>
      <c r="G15" s="2">
        <f t="shared" si="3"/>
        <v>9.1788000000000007</v>
      </c>
      <c r="H15" s="2">
        <f t="shared" si="4"/>
        <v>0.9285296142938213</v>
      </c>
      <c r="I15" s="2">
        <f t="shared" si="5"/>
        <v>0.37900722907693363</v>
      </c>
      <c r="J15" s="2">
        <f t="shared" si="6"/>
        <v>9.1788000000000007</v>
      </c>
    </row>
    <row r="16" spans="1:10">
      <c r="A16" s="1">
        <v>1988</v>
      </c>
      <c r="B16" s="3">
        <v>9.2515000000000001</v>
      </c>
      <c r="C16" s="2">
        <f t="shared" si="7"/>
        <v>11</v>
      </c>
      <c r="D16" s="2">
        <f t="shared" si="0"/>
        <v>0.90219378427787933</v>
      </c>
      <c r="E16" s="2">
        <f t="shared" si="1"/>
        <v>2.3247671485200203</v>
      </c>
      <c r="F16" s="2">
        <f t="shared" si="2"/>
        <v>0.43015060697008478</v>
      </c>
      <c r="G16" s="2">
        <f t="shared" si="3"/>
        <v>9.2515000000000001</v>
      </c>
      <c r="H16" s="2">
        <f t="shared" si="4"/>
        <v>0.92622206058395928</v>
      </c>
      <c r="I16" s="2">
        <f t="shared" si="5"/>
        <v>0.38362746775589029</v>
      </c>
      <c r="J16" s="2">
        <f t="shared" si="6"/>
        <v>9.2515000000000001</v>
      </c>
    </row>
    <row r="17" spans="1:10">
      <c r="A17" s="1">
        <v>1982</v>
      </c>
      <c r="B17" s="3">
        <v>9.3789999999999996</v>
      </c>
      <c r="C17" s="2">
        <f t="shared" si="7"/>
        <v>12</v>
      </c>
      <c r="D17" s="2">
        <f t="shared" si="0"/>
        <v>0.89305301645338209</v>
      </c>
      <c r="E17" s="2">
        <f t="shared" si="1"/>
        <v>2.2354220481841702</v>
      </c>
      <c r="F17" s="2">
        <f t="shared" si="2"/>
        <v>0.44734281869157477</v>
      </c>
      <c r="G17" s="2">
        <f t="shared" si="3"/>
        <v>9.3789999999999996</v>
      </c>
      <c r="H17" s="2">
        <f t="shared" si="4"/>
        <v>0.92206558446261255</v>
      </c>
      <c r="I17" s="2">
        <f t="shared" si="5"/>
        <v>0.39186678413739784</v>
      </c>
      <c r="J17" s="2">
        <f t="shared" si="6"/>
        <v>9.3789999999999996</v>
      </c>
    </row>
    <row r="18" spans="1:10">
      <c r="A18" s="1">
        <v>1990</v>
      </c>
      <c r="B18" s="3">
        <v>9.6216000000000008</v>
      </c>
      <c r="C18" s="2">
        <f t="shared" si="7"/>
        <v>13</v>
      </c>
      <c r="D18" s="2">
        <f t="shared" si="0"/>
        <v>0.88391224862888484</v>
      </c>
      <c r="E18" s="2">
        <f t="shared" si="1"/>
        <v>2.1534088965233353</v>
      </c>
      <c r="F18" s="2">
        <f t="shared" si="2"/>
        <v>0.46437998914859763</v>
      </c>
      <c r="G18" s="2">
        <f t="shared" si="3"/>
        <v>9.6216000000000008</v>
      </c>
      <c r="H18" s="2">
        <f t="shared" si="4"/>
        <v>0.91377235620759112</v>
      </c>
      <c r="I18" s="2">
        <f t="shared" si="5"/>
        <v>0.40803594825139361</v>
      </c>
      <c r="J18" s="2">
        <f t="shared" si="6"/>
        <v>9.6216000000000008</v>
      </c>
    </row>
    <row r="19" spans="1:10">
      <c r="A19" s="1">
        <v>1986</v>
      </c>
      <c r="B19" s="3">
        <v>9.9541000000000004</v>
      </c>
      <c r="C19" s="2">
        <f t="shared" si="7"/>
        <v>14</v>
      </c>
      <c r="D19" s="2">
        <f t="shared" si="0"/>
        <v>0.8747714808043876</v>
      </c>
      <c r="E19" s="2">
        <f t="shared" si="1"/>
        <v>2.0776150571538019</v>
      </c>
      <c r="F19" s="2">
        <f t="shared" si="2"/>
        <v>0.48132111699745539</v>
      </c>
      <c r="G19" s="2">
        <f t="shared" si="3"/>
        <v>9.9541000000000004</v>
      </c>
      <c r="H19" s="2">
        <f t="shared" si="4"/>
        <v>0.90159324785396444</v>
      </c>
      <c r="I19" s="2">
        <f t="shared" si="5"/>
        <v>0.43128621673269035</v>
      </c>
      <c r="J19" s="2">
        <f t="shared" si="6"/>
        <v>9.9541000000000004</v>
      </c>
    </row>
    <row r="20" spans="1:10">
      <c r="A20" s="1">
        <v>1941</v>
      </c>
      <c r="B20" s="3">
        <v>10.173999999999999</v>
      </c>
      <c r="C20" s="2">
        <f t="shared" si="7"/>
        <v>15</v>
      </c>
      <c r="D20" s="2">
        <f t="shared" si="0"/>
        <v>0.86563071297989036</v>
      </c>
      <c r="E20" s="2">
        <f t="shared" si="1"/>
        <v>2.0071633962031905</v>
      </c>
      <c r="F20" s="2">
        <f t="shared" si="2"/>
        <v>0.49821554233782339</v>
      </c>
      <c r="G20" s="2">
        <f t="shared" si="3"/>
        <v>10.173999999999999</v>
      </c>
      <c r="H20" s="2">
        <f t="shared" si="4"/>
        <v>0.89302989378835462</v>
      </c>
      <c r="I20" s="2">
        <f t="shared" si="5"/>
        <v>0.44738608455201728</v>
      </c>
      <c r="J20" s="2">
        <f t="shared" si="6"/>
        <v>10.173999999999999</v>
      </c>
    </row>
    <row r="21" spans="1:10">
      <c r="A21" s="1">
        <v>1920</v>
      </c>
      <c r="B21" s="3">
        <v>10.209199999999999</v>
      </c>
      <c r="C21" s="2">
        <f t="shared" si="7"/>
        <v>16</v>
      </c>
      <c r="D21" s="2">
        <f t="shared" si="0"/>
        <v>0.85648994515539312</v>
      </c>
      <c r="E21" s="2">
        <f t="shared" si="1"/>
        <v>1.9413501776336188</v>
      </c>
      <c r="F21" s="2">
        <f t="shared" si="2"/>
        <v>0.51510542071237031</v>
      </c>
      <c r="G21" s="2">
        <f t="shared" si="3"/>
        <v>10.209199999999999</v>
      </c>
      <c r="H21" s="2">
        <f t="shared" si="4"/>
        <v>0.89162209588292507</v>
      </c>
      <c r="I21" s="2">
        <f t="shared" si="5"/>
        <v>0.45001846367677267</v>
      </c>
      <c r="J21" s="2">
        <f t="shared" si="6"/>
        <v>10.209199999999999</v>
      </c>
    </row>
    <row r="22" spans="1:10">
      <c r="A22" s="1">
        <v>1999</v>
      </c>
      <c r="B22" s="3">
        <v>10.797800000000001</v>
      </c>
      <c r="C22" s="2">
        <f t="shared" si="7"/>
        <v>17</v>
      </c>
      <c r="D22" s="2">
        <f t="shared" si="0"/>
        <v>0.84734917733089588</v>
      </c>
      <c r="E22" s="2">
        <f t="shared" si="1"/>
        <v>1.879602170565172</v>
      </c>
      <c r="F22" s="2">
        <f t="shared" si="2"/>
        <v>0.5320274766970039</v>
      </c>
      <c r="G22" s="2">
        <f t="shared" si="3"/>
        <v>10.797800000000001</v>
      </c>
      <c r="H22" s="2">
        <f t="shared" si="4"/>
        <v>0.86661174846726285</v>
      </c>
      <c r="I22" s="2">
        <f t="shared" si="5"/>
        <v>0.49640325589084083</v>
      </c>
      <c r="J22" s="2">
        <f t="shared" si="6"/>
        <v>10.797800000000001</v>
      </c>
    </row>
    <row r="23" spans="1:10">
      <c r="A23" s="1">
        <v>1951</v>
      </c>
      <c r="B23" s="3">
        <v>11.1906</v>
      </c>
      <c r="C23" s="2">
        <f t="shared" si="7"/>
        <v>18</v>
      </c>
      <c r="D23" s="2">
        <f t="shared" si="0"/>
        <v>0.83820840950639852</v>
      </c>
      <c r="E23" s="2">
        <f t="shared" si="1"/>
        <v>1.8214462504080973</v>
      </c>
      <c r="F23" s="2">
        <f t="shared" si="2"/>
        <v>0.54901427905212619</v>
      </c>
      <c r="G23" s="2">
        <f t="shared" si="3"/>
        <v>11.1906</v>
      </c>
      <c r="H23" s="2">
        <f t="shared" si="4"/>
        <v>0.84844905632568302</v>
      </c>
      <c r="I23" s="2">
        <f t="shared" si="5"/>
        <v>0.52998848451616609</v>
      </c>
      <c r="J23" s="2">
        <f t="shared" si="6"/>
        <v>11.1906</v>
      </c>
    </row>
    <row r="24" spans="1:10">
      <c r="A24" s="1">
        <v>1972</v>
      </c>
      <c r="B24" s="3">
        <v>11.321099999999999</v>
      </c>
      <c r="C24" s="2">
        <f t="shared" si="7"/>
        <v>19</v>
      </c>
      <c r="D24" s="2">
        <f t="shared" si="0"/>
        <v>0.82906764168190128</v>
      </c>
      <c r="E24" s="2">
        <f t="shared" si="1"/>
        <v>1.7664873661273399</v>
      </c>
      <c r="F24" s="2">
        <f t="shared" si="2"/>
        <v>0.56609518934307146</v>
      </c>
      <c r="G24" s="2">
        <f t="shared" si="3"/>
        <v>11.321099999999999</v>
      </c>
      <c r="H24" s="2">
        <f t="shared" si="4"/>
        <v>0.84217017733006561</v>
      </c>
      <c r="I24" s="2">
        <f t="shared" si="5"/>
        <v>0.54164200670815743</v>
      </c>
      <c r="J24" s="2">
        <f t="shared" si="6"/>
        <v>11.321099999999999</v>
      </c>
    </row>
    <row r="25" spans="1:10">
      <c r="A25" s="1">
        <v>2003</v>
      </c>
      <c r="B25" s="3">
        <v>11.426500000000001</v>
      </c>
      <c r="C25" s="2">
        <f t="shared" si="7"/>
        <v>20</v>
      </c>
      <c r="D25" s="2">
        <f t="shared" si="0"/>
        <v>0.81992687385740404</v>
      </c>
      <c r="E25" s="2">
        <f t="shared" si="1"/>
        <v>1.714392254243938</v>
      </c>
      <c r="F25" s="2">
        <f t="shared" si="2"/>
        <v>0.58329708240603828</v>
      </c>
      <c r="G25" s="2">
        <f t="shared" si="3"/>
        <v>11.426500000000001</v>
      </c>
      <c r="H25" s="2">
        <f t="shared" si="4"/>
        <v>0.83701365502951863</v>
      </c>
      <c r="I25" s="2">
        <f t="shared" si="5"/>
        <v>0.55124091486173799</v>
      </c>
      <c r="J25" s="2">
        <f t="shared" si="6"/>
        <v>11.426500000000001</v>
      </c>
    </row>
    <row r="26" spans="1:10">
      <c r="A26" s="1">
        <v>1968</v>
      </c>
      <c r="B26" s="3">
        <v>11.6281</v>
      </c>
      <c r="C26" s="2">
        <f t="shared" si="7"/>
        <v>21</v>
      </c>
      <c r="D26" s="2">
        <f t="shared" si="0"/>
        <v>0.81078610603290679</v>
      </c>
      <c r="E26" s="2">
        <f t="shared" si="1"/>
        <v>1.6648771897165575</v>
      </c>
      <c r="F26" s="2">
        <f t="shared" si="2"/>
        <v>0.60064490412668115</v>
      </c>
      <c r="G26" s="2">
        <f t="shared" si="3"/>
        <v>11.6281</v>
      </c>
      <c r="H26" s="2">
        <f t="shared" si="4"/>
        <v>0.82694539750632501</v>
      </c>
      <c r="I26" s="2">
        <f t="shared" si="5"/>
        <v>0.5700772885869797</v>
      </c>
      <c r="J26" s="2">
        <f t="shared" si="6"/>
        <v>11.6281</v>
      </c>
    </row>
    <row r="27" spans="1:10">
      <c r="A27" s="1">
        <v>1955</v>
      </c>
      <c r="B27" s="3">
        <v>11.664999999999999</v>
      </c>
      <c r="C27" s="2">
        <f t="shared" si="7"/>
        <v>22</v>
      </c>
      <c r="D27" s="2">
        <f t="shared" si="0"/>
        <v>0.80164533820840955</v>
      </c>
      <c r="E27" s="2">
        <f t="shared" si="1"/>
        <v>1.6176986294414673</v>
      </c>
      <c r="F27" s="2">
        <f t="shared" si="2"/>
        <v>0.61816211116236386</v>
      </c>
      <c r="G27" s="2">
        <f t="shared" si="3"/>
        <v>11.664999999999999</v>
      </c>
      <c r="H27" s="2">
        <f t="shared" si="4"/>
        <v>0.82507416716607684</v>
      </c>
      <c r="I27" s="2">
        <f t="shared" si="5"/>
        <v>0.57359406692072712</v>
      </c>
      <c r="J27" s="2">
        <f t="shared" si="6"/>
        <v>11.664999999999999</v>
      </c>
    </row>
    <row r="28" spans="1:10">
      <c r="A28" s="1">
        <v>1932</v>
      </c>
      <c r="B28" s="3">
        <v>11.822100000000001</v>
      </c>
      <c r="C28" s="2">
        <f t="shared" si="7"/>
        <v>23</v>
      </c>
      <c r="D28" s="2">
        <f t="shared" si="0"/>
        <v>0.7925045703839122</v>
      </c>
      <c r="E28" s="2">
        <f t="shared" si="1"/>
        <v>1.5726459655005236</v>
      </c>
      <c r="F28" s="2">
        <f t="shared" si="2"/>
        <v>0.63587102369968662</v>
      </c>
      <c r="G28" s="2">
        <f t="shared" si="3"/>
        <v>11.822100000000001</v>
      </c>
      <c r="H28" s="2">
        <f t="shared" si="4"/>
        <v>0.81701256438842096</v>
      </c>
      <c r="I28" s="2">
        <f t="shared" si="5"/>
        <v>0.58881101747400355</v>
      </c>
      <c r="J28" s="2">
        <f t="shared" si="6"/>
        <v>11.822100000000001</v>
      </c>
    </row>
    <row r="29" spans="1:10">
      <c r="A29" s="1">
        <v>1996</v>
      </c>
      <c r="B29" s="3">
        <v>11.916</v>
      </c>
      <c r="C29" s="2">
        <f t="shared" si="7"/>
        <v>24</v>
      </c>
      <c r="D29" s="2">
        <f t="shared" si="0"/>
        <v>0.78336380255941496</v>
      </c>
      <c r="E29" s="2">
        <f t="shared" si="1"/>
        <v>1.5295358418467953</v>
      </c>
      <c r="F29" s="2">
        <f t="shared" si="2"/>
        <v>0.65379311333598955</v>
      </c>
      <c r="G29" s="2">
        <f t="shared" si="3"/>
        <v>11.916</v>
      </c>
      <c r="H29" s="2">
        <f t="shared" si="4"/>
        <v>0.81212260813445603</v>
      </c>
      <c r="I29" s="2">
        <f t="shared" si="5"/>
        <v>0.59809839406276155</v>
      </c>
      <c r="J29" s="2">
        <f t="shared" si="6"/>
        <v>11.916</v>
      </c>
    </row>
    <row r="30" spans="1:10">
      <c r="A30" s="1">
        <v>1980</v>
      </c>
      <c r="B30" s="3">
        <v>11.9254</v>
      </c>
      <c r="C30" s="2">
        <f t="shared" si="7"/>
        <v>25</v>
      </c>
      <c r="D30" s="2">
        <f t="shared" si="0"/>
        <v>0.77422303473491771</v>
      </c>
      <c r="E30" s="2">
        <f t="shared" si="1"/>
        <v>1.4882076463539493</v>
      </c>
      <c r="F30" s="2">
        <f t="shared" si="2"/>
        <v>0.67194924206306894</v>
      </c>
      <c r="G30" s="2">
        <f t="shared" si="3"/>
        <v>11.9254</v>
      </c>
      <c r="H30" s="2">
        <f t="shared" si="4"/>
        <v>0.81163022086759617</v>
      </c>
      <c r="I30" s="2">
        <f t="shared" si="5"/>
        <v>0.59903614926322779</v>
      </c>
      <c r="J30" s="2">
        <f t="shared" si="6"/>
        <v>11.9254</v>
      </c>
    </row>
    <row r="31" spans="1:10">
      <c r="A31" s="1">
        <v>1928</v>
      </c>
      <c r="B31" s="3">
        <v>11.952199999999999</v>
      </c>
      <c r="C31" s="2">
        <f t="shared" si="7"/>
        <v>26</v>
      </c>
      <c r="D31" s="2">
        <f t="shared" si="0"/>
        <v>0.76508226691042047</v>
      </c>
      <c r="E31" s="2">
        <f t="shared" si="1"/>
        <v>1.4485198980867067</v>
      </c>
      <c r="F31" s="2">
        <f t="shared" si="2"/>
        <v>0.69035986410739747</v>
      </c>
      <c r="G31" s="2">
        <f t="shared" si="3"/>
        <v>11.952199999999999</v>
      </c>
      <c r="H31" s="2">
        <f t="shared" si="4"/>
        <v>0.81022356225252556</v>
      </c>
      <c r="I31" s="2">
        <f t="shared" si="5"/>
        <v>0.60171782868878165</v>
      </c>
      <c r="J31" s="2">
        <f t="shared" si="6"/>
        <v>11.952199999999999</v>
      </c>
    </row>
    <row r="32" spans="1:10">
      <c r="A32" s="1">
        <v>1965</v>
      </c>
      <c r="B32" s="3">
        <v>12.115500000000001</v>
      </c>
      <c r="C32" s="2">
        <f t="shared" si="7"/>
        <v>27</v>
      </c>
      <c r="D32" s="2">
        <f t="shared" si="0"/>
        <v>0.75594149908592323</v>
      </c>
      <c r="E32" s="2">
        <f t="shared" si="1"/>
        <v>1.4103473245816771</v>
      </c>
      <c r="F32" s="2">
        <f t="shared" si="2"/>
        <v>0.70904519941327915</v>
      </c>
      <c r="G32" s="2">
        <f t="shared" si="3"/>
        <v>12.115500000000001</v>
      </c>
      <c r="H32" s="2">
        <f t="shared" si="4"/>
        <v>0.80156365544541197</v>
      </c>
      <c r="I32" s="2">
        <f t="shared" si="5"/>
        <v>0.61831947825161526</v>
      </c>
      <c r="J32" s="2">
        <f t="shared" si="6"/>
        <v>12.115500000000001</v>
      </c>
    </row>
    <row r="33" spans="1:10">
      <c r="A33" s="1">
        <v>1907</v>
      </c>
      <c r="B33" s="3">
        <v>12.1449</v>
      </c>
      <c r="C33" s="2">
        <f t="shared" si="7"/>
        <v>28</v>
      </c>
      <c r="D33" s="2">
        <f t="shared" si="0"/>
        <v>0.74680073126142599</v>
      </c>
      <c r="E33" s="2">
        <f t="shared" si="1"/>
        <v>1.3735784767945882</v>
      </c>
      <c r="F33" s="2">
        <f t="shared" si="2"/>
        <v>0.72802538543965911</v>
      </c>
      <c r="G33" s="2">
        <f t="shared" si="3"/>
        <v>12.1449</v>
      </c>
      <c r="H33" s="2">
        <f t="shared" si="4"/>
        <v>0.79998873531863857</v>
      </c>
      <c r="I33" s="2">
        <f t="shared" si="5"/>
        <v>0.62135667875936229</v>
      </c>
      <c r="J33" s="2">
        <f t="shared" si="6"/>
        <v>12.1449</v>
      </c>
    </row>
    <row r="34" spans="1:10">
      <c r="A34" s="1">
        <v>1959</v>
      </c>
      <c r="B34" s="3">
        <v>12.1934</v>
      </c>
      <c r="C34" s="2">
        <f t="shared" si="7"/>
        <v>29</v>
      </c>
      <c r="D34" s="2">
        <f t="shared" si="0"/>
        <v>0.73765996343692875</v>
      </c>
      <c r="E34" s="2">
        <f t="shared" si="1"/>
        <v>1.3381137672223056</v>
      </c>
      <c r="F34" s="2">
        <f t="shared" si="2"/>
        <v>0.74732061241386694</v>
      </c>
      <c r="G34" s="2">
        <f t="shared" si="3"/>
        <v>12.1934</v>
      </c>
      <c r="H34" s="2">
        <f t="shared" si="4"/>
        <v>0.79738038188460791</v>
      </c>
      <c r="I34" s="2">
        <f t="shared" si="5"/>
        <v>0.62639966652908141</v>
      </c>
      <c r="J34" s="2">
        <f t="shared" si="6"/>
        <v>12.1934</v>
      </c>
    </row>
    <row r="35" spans="1:10">
      <c r="A35" s="1">
        <v>1908</v>
      </c>
      <c r="B35" s="3">
        <v>12.3127</v>
      </c>
      <c r="C35" s="2">
        <f t="shared" si="7"/>
        <v>30</v>
      </c>
      <c r="D35" s="2">
        <f t="shared" si="0"/>
        <v>0.7285191956124315</v>
      </c>
      <c r="E35" s="2">
        <f t="shared" si="1"/>
        <v>1.3038638441792272</v>
      </c>
      <c r="F35" s="2">
        <f t="shared" si="2"/>
        <v>0.76695124607086007</v>
      </c>
      <c r="G35" s="2">
        <f t="shared" si="3"/>
        <v>12.3127</v>
      </c>
      <c r="H35" s="2">
        <f t="shared" si="4"/>
        <v>0.79091117182595072</v>
      </c>
      <c r="I35" s="2">
        <f t="shared" si="5"/>
        <v>0.63897922725999023</v>
      </c>
      <c r="J35" s="2">
        <f t="shared" si="6"/>
        <v>12.3127</v>
      </c>
    </row>
    <row r="36" spans="1:10">
      <c r="A36" s="1">
        <v>1977</v>
      </c>
      <c r="B36" s="3">
        <v>12.358499999999999</v>
      </c>
      <c r="C36" s="2">
        <f t="shared" si="7"/>
        <v>31</v>
      </c>
      <c r="D36" s="2">
        <f t="shared" si="0"/>
        <v>0.71937842778793426</v>
      </c>
      <c r="E36" s="2">
        <f t="shared" si="1"/>
        <v>1.2707482353947297</v>
      </c>
      <c r="F36" s="2">
        <f t="shared" si="2"/>
        <v>0.78693794108584558</v>
      </c>
      <c r="G36" s="2">
        <f t="shared" si="3"/>
        <v>12.358499999999999</v>
      </c>
      <c r="H36" s="2">
        <f t="shared" si="4"/>
        <v>0.78840801204932642</v>
      </c>
      <c r="I36" s="2">
        <f t="shared" si="5"/>
        <v>0.64387543210233156</v>
      </c>
      <c r="J36" s="2">
        <f t="shared" si="6"/>
        <v>12.358499999999999</v>
      </c>
    </row>
    <row r="37" spans="1:10">
      <c r="A37" s="1">
        <v>1956</v>
      </c>
      <c r="B37" s="3">
        <v>12.6751</v>
      </c>
      <c r="C37" s="2">
        <f t="shared" si="7"/>
        <v>32</v>
      </c>
      <c r="D37" s="2">
        <f t="shared" si="0"/>
        <v>0.71023765996343702</v>
      </c>
      <c r="E37" s="2">
        <f t="shared" si="1"/>
        <v>1.2386942091046462</v>
      </c>
      <c r="F37" s="2">
        <f t="shared" si="2"/>
        <v>0.80730174780006492</v>
      </c>
      <c r="G37" s="2">
        <f t="shared" si="3"/>
        <v>12.6751</v>
      </c>
      <c r="H37" s="2">
        <f t="shared" si="4"/>
        <v>0.77082477628080959</v>
      </c>
      <c r="I37" s="2">
        <f t="shared" si="5"/>
        <v>0.6787629468729236</v>
      </c>
      <c r="J37" s="2">
        <f t="shared" si="6"/>
        <v>12.6751</v>
      </c>
    </row>
    <row r="38" spans="1:10">
      <c r="A38" s="1">
        <v>1984</v>
      </c>
      <c r="B38" s="3">
        <v>12.7591</v>
      </c>
      <c r="C38" s="2">
        <f t="shared" si="7"/>
        <v>33</v>
      </c>
      <c r="D38" s="2">
        <f t="shared" si="0"/>
        <v>0.70109689213893966</v>
      </c>
      <c r="E38" s="2">
        <f t="shared" si="1"/>
        <v>1.2076358120846731</v>
      </c>
      <c r="F38" s="2">
        <f t="shared" si="2"/>
        <v>0.82806421438741273</v>
      </c>
      <c r="G38" s="2">
        <f t="shared" si="3"/>
        <v>12.7591</v>
      </c>
      <c r="H38" s="2">
        <f t="shared" si="4"/>
        <v>0.76608239715663751</v>
      </c>
      <c r="I38" s="2">
        <f t="shared" si="5"/>
        <v>0.68833245840838153</v>
      </c>
      <c r="J38" s="2">
        <f t="shared" si="6"/>
        <v>12.7591</v>
      </c>
    </row>
    <row r="39" spans="1:10">
      <c r="A39" s="1">
        <v>1915</v>
      </c>
      <c r="B39" s="3">
        <v>12.978899999999999</v>
      </c>
      <c r="C39" s="2">
        <f t="shared" si="7"/>
        <v>34</v>
      </c>
      <c r="D39" s="2">
        <f t="shared" si="0"/>
        <v>0.69195612431444242</v>
      </c>
      <c r="E39" s="2">
        <f t="shared" si="1"/>
        <v>1.1775130526295647</v>
      </c>
      <c r="F39" s="2">
        <f t="shared" si="2"/>
        <v>0.84924748627359059</v>
      </c>
      <c r="G39" s="2">
        <f t="shared" si="3"/>
        <v>12.978899999999999</v>
      </c>
      <c r="H39" s="2">
        <f t="shared" si="4"/>
        <v>0.75353344362437813</v>
      </c>
      <c r="I39" s="2">
        <f t="shared" si="5"/>
        <v>0.71401593426058141</v>
      </c>
      <c r="J39" s="2">
        <f t="shared" si="6"/>
        <v>12.978899999999999</v>
      </c>
    </row>
    <row r="40" spans="1:10">
      <c r="A40" s="1">
        <v>2013</v>
      </c>
      <c r="B40" s="3">
        <v>13.088200000000001</v>
      </c>
      <c r="C40" s="2">
        <f t="shared" si="7"/>
        <v>35</v>
      </c>
      <c r="D40" s="2">
        <f t="shared" si="0"/>
        <v>0.68281535648994507</v>
      </c>
      <c r="E40" s="2">
        <f t="shared" si="1"/>
        <v>1.148271203035067</v>
      </c>
      <c r="F40" s="2">
        <f t="shared" si="2"/>
        <v>0.8708744043714044</v>
      </c>
      <c r="G40" s="2">
        <f t="shared" si="3"/>
        <v>13.088200000000001</v>
      </c>
      <c r="H40" s="2">
        <f t="shared" si="4"/>
        <v>0.74722284160033126</v>
      </c>
      <c r="I40" s="2">
        <f t="shared" si="5"/>
        <v>0.72714211920924654</v>
      </c>
      <c r="J40" s="2">
        <f t="shared" si="6"/>
        <v>13.088200000000001</v>
      </c>
    </row>
    <row r="41" spans="1:10">
      <c r="A41" s="1">
        <v>1954</v>
      </c>
      <c r="B41" s="3">
        <v>13.538399999999999</v>
      </c>
      <c r="C41" s="2">
        <f t="shared" si="7"/>
        <v>36</v>
      </c>
      <c r="D41" s="2">
        <f t="shared" si="0"/>
        <v>0.67367458866544783</v>
      </c>
      <c r="E41" s="2">
        <f t="shared" si="1"/>
        <v>1.1198602012022871</v>
      </c>
      <c r="F41" s="2">
        <f t="shared" si="2"/>
        <v>0.89296860351532747</v>
      </c>
      <c r="G41" s="2">
        <f t="shared" si="3"/>
        <v>13.538399999999999</v>
      </c>
      <c r="H41" s="2">
        <f t="shared" si="4"/>
        <v>0.7208019506958161</v>
      </c>
      <c r="I41" s="2">
        <f t="shared" si="5"/>
        <v>0.78380109200393622</v>
      </c>
      <c r="J41" s="2">
        <f t="shared" si="6"/>
        <v>13.538399999999999</v>
      </c>
    </row>
    <row r="42" spans="1:10">
      <c r="A42" s="1">
        <v>1970</v>
      </c>
      <c r="B42" s="3">
        <v>13.5662</v>
      </c>
      <c r="C42" s="2">
        <f t="shared" si="7"/>
        <v>37</v>
      </c>
      <c r="D42" s="2">
        <f t="shared" si="0"/>
        <v>0.66453382084095058</v>
      </c>
      <c r="E42" s="2">
        <f t="shared" si="1"/>
        <v>1.0922341349273561</v>
      </c>
      <c r="F42" s="2">
        <f t="shared" si="2"/>
        <v>0.91555461235105007</v>
      </c>
      <c r="G42" s="2">
        <f t="shared" si="3"/>
        <v>13.5662</v>
      </c>
      <c r="H42" s="2">
        <f t="shared" si="4"/>
        <v>0.71915046190456922</v>
      </c>
      <c r="I42" s="2">
        <f t="shared" si="5"/>
        <v>0.78744112997289128</v>
      </c>
      <c r="J42" s="2">
        <f t="shared" si="6"/>
        <v>13.5662</v>
      </c>
    </row>
    <row r="43" spans="1:10">
      <c r="A43" s="1">
        <v>1924</v>
      </c>
      <c r="B43" s="3">
        <v>13.6549</v>
      </c>
      <c r="C43" s="2">
        <f t="shared" si="7"/>
        <v>38</v>
      </c>
      <c r="D43" s="2">
        <f t="shared" si="0"/>
        <v>0.65539305301645334</v>
      </c>
      <c r="E43" s="2">
        <f t="shared" si="1"/>
        <v>1.0653507955339157</v>
      </c>
      <c r="F43" s="2">
        <f t="shared" si="2"/>
        <v>0.93865795585090428</v>
      </c>
      <c r="G43" s="2">
        <f t="shared" si="3"/>
        <v>13.6549</v>
      </c>
      <c r="H43" s="2">
        <f t="shared" si="4"/>
        <v>0.71386753283131799</v>
      </c>
      <c r="I43" s="2">
        <f t="shared" si="5"/>
        <v>0.79916860669351153</v>
      </c>
      <c r="J43" s="2">
        <f t="shared" si="6"/>
        <v>13.6549</v>
      </c>
    </row>
    <row r="44" spans="1:10">
      <c r="A44" s="1">
        <v>1964</v>
      </c>
      <c r="B44" s="3">
        <v>14.164099999999999</v>
      </c>
      <c r="C44" s="2">
        <f t="shared" si="7"/>
        <v>39</v>
      </c>
      <c r="D44" s="2">
        <f t="shared" si="0"/>
        <v>0.6462522851919561</v>
      </c>
      <c r="E44" s="2">
        <f t="shared" si="1"/>
        <v>1.0391712899521446</v>
      </c>
      <c r="F44" s="2">
        <f t="shared" si="2"/>
        <v>0.96230526157631968</v>
      </c>
      <c r="G44" s="2">
        <f t="shared" si="3"/>
        <v>14.164099999999999</v>
      </c>
      <c r="H44" s="2">
        <f t="shared" si="4"/>
        <v>0.68320108595114393</v>
      </c>
      <c r="I44" s="2">
        <f t="shared" si="5"/>
        <v>0.86995249987690115</v>
      </c>
      <c r="J44" s="2">
        <f t="shared" si="6"/>
        <v>14.164099999999999</v>
      </c>
    </row>
    <row r="45" spans="1:10">
      <c r="A45" s="1">
        <v>1983</v>
      </c>
      <c r="B45" s="3">
        <v>14.4057</v>
      </c>
      <c r="C45" s="2">
        <f t="shared" si="7"/>
        <v>40</v>
      </c>
      <c r="D45" s="2">
        <f t="shared" si="0"/>
        <v>0.63711151736745886</v>
      </c>
      <c r="E45" s="2">
        <f t="shared" si="1"/>
        <v>1.013659702294736</v>
      </c>
      <c r="F45" s="2">
        <f t="shared" si="2"/>
        <v>0.98652437078852695</v>
      </c>
      <c r="G45" s="2">
        <f t="shared" si="3"/>
        <v>14.4057</v>
      </c>
      <c r="H45" s="2">
        <f t="shared" si="4"/>
        <v>0.66849802256270496</v>
      </c>
      <c r="I45" s="2">
        <f t="shared" si="5"/>
        <v>0.90569742202030679</v>
      </c>
      <c r="J45" s="2">
        <f t="shared" si="6"/>
        <v>14.4057</v>
      </c>
    </row>
    <row r="46" spans="1:10">
      <c r="A46" s="1">
        <v>1991</v>
      </c>
      <c r="B46" s="3">
        <v>14.482200000000001</v>
      </c>
      <c r="C46" s="2">
        <f t="shared" si="7"/>
        <v>41</v>
      </c>
      <c r="D46" s="2">
        <f t="shared" si="0"/>
        <v>0.62797074954296161</v>
      </c>
      <c r="E46" s="2">
        <f t="shared" si="1"/>
        <v>0.98878279753933151</v>
      </c>
      <c r="F46" s="2">
        <f t="shared" si="2"/>
        <v>1.0113444555149862</v>
      </c>
      <c r="G46" s="2">
        <f t="shared" si="3"/>
        <v>14.482200000000001</v>
      </c>
      <c r="H46" s="2">
        <f t="shared" si="4"/>
        <v>0.66382832743615416</v>
      </c>
      <c r="I46" s="2">
        <f t="shared" si="5"/>
        <v>0.91731899423839669</v>
      </c>
      <c r="J46" s="2">
        <f t="shared" si="6"/>
        <v>14.482200000000001</v>
      </c>
    </row>
    <row r="47" spans="1:10">
      <c r="A47" s="1">
        <v>1957</v>
      </c>
      <c r="B47" s="3">
        <v>14.523999999999999</v>
      </c>
      <c r="C47" s="2">
        <f t="shared" si="7"/>
        <v>42</v>
      </c>
      <c r="D47" s="2">
        <f t="shared" si="0"/>
        <v>0.61882998171846437</v>
      </c>
      <c r="E47" s="2">
        <f t="shared" si="1"/>
        <v>0.96450976118312515</v>
      </c>
      <c r="F47" s="2">
        <f t="shared" si="2"/>
        <v>1.0367961427091628</v>
      </c>
      <c r="G47" s="2">
        <f t="shared" si="3"/>
        <v>14.523999999999999</v>
      </c>
      <c r="H47" s="2">
        <f t="shared" si="4"/>
        <v>0.66127446031710257</v>
      </c>
      <c r="I47" s="2">
        <f t="shared" si="5"/>
        <v>0.92373196246678613</v>
      </c>
      <c r="J47" s="2">
        <f t="shared" si="6"/>
        <v>14.523999999999999</v>
      </c>
    </row>
    <row r="48" spans="1:10">
      <c r="A48" s="1">
        <v>1906</v>
      </c>
      <c r="B48" s="3">
        <v>14.694800000000001</v>
      </c>
      <c r="C48" s="2">
        <f t="shared" si="7"/>
        <v>43</v>
      </c>
      <c r="D48" s="2">
        <f t="shared" si="0"/>
        <v>0.60968921389396713</v>
      </c>
      <c r="E48" s="2">
        <f t="shared" si="1"/>
        <v>0.94081196975330206</v>
      </c>
      <c r="F48" s="2">
        <f t="shared" si="2"/>
        <v>1.0629116466940978</v>
      </c>
      <c r="G48" s="2">
        <f t="shared" si="3"/>
        <v>14.694800000000001</v>
      </c>
      <c r="H48" s="2">
        <f t="shared" si="4"/>
        <v>0.65082518964644542</v>
      </c>
      <c r="I48" s="2">
        <f t="shared" si="5"/>
        <v>0.95040538280246167</v>
      </c>
      <c r="J48" s="2">
        <f t="shared" si="6"/>
        <v>14.694800000000001</v>
      </c>
    </row>
    <row r="49" spans="1:10">
      <c r="A49" s="1">
        <v>1993</v>
      </c>
      <c r="B49" s="3">
        <v>14.766400000000001</v>
      </c>
      <c r="C49" s="2">
        <f t="shared" si="7"/>
        <v>44</v>
      </c>
      <c r="D49" s="2">
        <f t="shared" si="0"/>
        <v>0.60054844606946989</v>
      </c>
      <c r="E49" s="2">
        <f t="shared" si="1"/>
        <v>0.91766278788633648</v>
      </c>
      <c r="F49" s="2">
        <f t="shared" si="2"/>
        <v>1.0897249111553404</v>
      </c>
      <c r="G49" s="2">
        <f t="shared" si="3"/>
        <v>14.766400000000001</v>
      </c>
      <c r="H49" s="2">
        <f t="shared" si="4"/>
        <v>0.64643967866298502</v>
      </c>
      <c r="I49" s="2">
        <f t="shared" si="5"/>
        <v>0.96181482799758133</v>
      </c>
      <c r="J49" s="2">
        <f t="shared" si="6"/>
        <v>14.766400000000001</v>
      </c>
    </row>
    <row r="50" spans="1:10">
      <c r="A50" s="1">
        <v>2006</v>
      </c>
      <c r="B50" s="3">
        <v>14.892899999999999</v>
      </c>
      <c r="C50" s="2">
        <f t="shared" si="7"/>
        <v>45</v>
      </c>
      <c r="D50" s="2">
        <f t="shared" si="0"/>
        <v>0.59140767824497265</v>
      </c>
      <c r="E50" s="2">
        <f t="shared" si="1"/>
        <v>0.89503738836835789</v>
      </c>
      <c r="F50" s="2">
        <f t="shared" si="2"/>
        <v>1.1172717620467092</v>
      </c>
      <c r="G50" s="2">
        <f t="shared" si="3"/>
        <v>14.892899999999999</v>
      </c>
      <c r="H50" s="2">
        <f t="shared" si="4"/>
        <v>0.63868685659495816</v>
      </c>
      <c r="I50" s="2">
        <f t="shared" si="5"/>
        <v>0.98230836756301865</v>
      </c>
      <c r="J50" s="2">
        <f t="shared" si="6"/>
        <v>14.892899999999999</v>
      </c>
    </row>
    <row r="51" spans="1:10">
      <c r="A51" s="1">
        <v>1914</v>
      </c>
      <c r="B51" s="3">
        <v>15.1653</v>
      </c>
      <c r="C51" s="2">
        <f t="shared" si="7"/>
        <v>46</v>
      </c>
      <c r="D51" s="2">
        <f t="shared" si="0"/>
        <v>0.58226691042047529</v>
      </c>
      <c r="E51" s="2">
        <f t="shared" si="1"/>
        <v>0.87291259208772176</v>
      </c>
      <c r="F51" s="2">
        <f t="shared" si="2"/>
        <v>1.1455900728941562</v>
      </c>
      <c r="G51" s="2">
        <f t="shared" si="3"/>
        <v>15.1653</v>
      </c>
      <c r="H51" s="2">
        <f t="shared" si="4"/>
        <v>0.62198675339023601</v>
      </c>
      <c r="I51" s="2">
        <f t="shared" si="5"/>
        <v>1.0279330104728814</v>
      </c>
      <c r="J51" s="2">
        <f t="shared" si="6"/>
        <v>15.1653</v>
      </c>
    </row>
    <row r="52" spans="1:10">
      <c r="A52" s="1">
        <v>1925</v>
      </c>
      <c r="B52" s="3">
        <v>15.483499999999999</v>
      </c>
      <c r="C52" s="2">
        <f t="shared" si="7"/>
        <v>47</v>
      </c>
      <c r="D52" s="2">
        <f t="shared" si="0"/>
        <v>0.57312614259597805</v>
      </c>
      <c r="E52" s="2">
        <f t="shared" si="1"/>
        <v>0.85126672531302916</v>
      </c>
      <c r="F52" s="2">
        <f t="shared" si="2"/>
        <v>1.1747199441306464</v>
      </c>
      <c r="G52" s="2">
        <f t="shared" si="3"/>
        <v>15.483499999999999</v>
      </c>
      <c r="H52" s="2">
        <f t="shared" si="4"/>
        <v>0.60250702534931877</v>
      </c>
      <c r="I52" s="2">
        <f t="shared" si="5"/>
        <v>1.0839191694762031</v>
      </c>
      <c r="J52" s="2">
        <f t="shared" si="6"/>
        <v>15.483499999999999</v>
      </c>
    </row>
    <row r="53" spans="1:10">
      <c r="A53" s="1">
        <v>1926</v>
      </c>
      <c r="B53" s="3">
        <v>15.9055</v>
      </c>
      <c r="C53" s="2">
        <f t="shared" si="7"/>
        <v>48</v>
      </c>
      <c r="D53" s="2">
        <f t="shared" si="0"/>
        <v>0.56398537477148081</v>
      </c>
      <c r="E53" s="2">
        <f t="shared" si="1"/>
        <v>0.83007949209358534</v>
      </c>
      <c r="F53" s="2">
        <f t="shared" si="2"/>
        <v>1.2047038982710554</v>
      </c>
      <c r="G53" s="2">
        <f t="shared" si="3"/>
        <v>15.9055</v>
      </c>
      <c r="H53" s="2">
        <f t="shared" si="4"/>
        <v>0.57680379066232346</v>
      </c>
      <c r="I53" s="2">
        <f t="shared" si="5"/>
        <v>1.1628997457317174</v>
      </c>
      <c r="J53" s="2">
        <f t="shared" si="6"/>
        <v>15.9055</v>
      </c>
    </row>
    <row r="54" spans="1:10">
      <c r="A54" s="1">
        <v>1985</v>
      </c>
      <c r="B54" s="3">
        <v>15.936299999999999</v>
      </c>
      <c r="C54" s="2">
        <f t="shared" si="7"/>
        <v>49</v>
      </c>
      <c r="D54" s="2">
        <f t="shared" si="0"/>
        <v>0.55484460694698357</v>
      </c>
      <c r="E54" s="2">
        <f t="shared" si="1"/>
        <v>0.80933185989933676</v>
      </c>
      <c r="F54" s="2">
        <f t="shared" si="2"/>
        <v>1.235587092944022</v>
      </c>
      <c r="G54" s="2">
        <f t="shared" si="3"/>
        <v>15.936299999999999</v>
      </c>
      <c r="H54" s="2">
        <f t="shared" si="4"/>
        <v>0.57493637419270072</v>
      </c>
      <c r="I54" s="2">
        <f t="shared" si="5"/>
        <v>1.1688846458610804</v>
      </c>
      <c r="J54" s="2">
        <f t="shared" si="6"/>
        <v>15.936299999999999</v>
      </c>
    </row>
    <row r="55" spans="1:10">
      <c r="A55" s="1">
        <v>1939</v>
      </c>
      <c r="B55" s="3">
        <v>16.132400000000001</v>
      </c>
      <c r="C55" s="2">
        <f t="shared" si="7"/>
        <v>50</v>
      </c>
      <c r="D55" s="2">
        <f t="shared" si="0"/>
        <v>0.54570383912248621</v>
      </c>
      <c r="E55" s="2">
        <f t="shared" si="1"/>
        <v>0.78900595688529762</v>
      </c>
      <c r="F55" s="2">
        <f t="shared" si="2"/>
        <v>1.2674175540418331</v>
      </c>
      <c r="G55" s="2">
        <f t="shared" si="3"/>
        <v>16.132400000000001</v>
      </c>
      <c r="H55" s="2">
        <f t="shared" si="4"/>
        <v>0.56308092285769895</v>
      </c>
      <c r="I55" s="2">
        <f t="shared" si="5"/>
        <v>1.207718851177656</v>
      </c>
      <c r="J55" s="2">
        <f t="shared" si="6"/>
        <v>16.132400000000001</v>
      </c>
    </row>
    <row r="56" spans="1:10">
      <c r="A56" s="1">
        <v>2001</v>
      </c>
      <c r="B56" s="3">
        <v>16.169499999999999</v>
      </c>
      <c r="C56" s="2">
        <f t="shared" si="7"/>
        <v>51</v>
      </c>
      <c r="D56" s="2">
        <f t="shared" si="0"/>
        <v>0.53656307129798897</v>
      </c>
      <c r="E56" s="2">
        <f t="shared" si="1"/>
        <v>0.76908497939074327</v>
      </c>
      <c r="F56" s="2">
        <f t="shared" si="2"/>
        <v>1.3002464315350222</v>
      </c>
      <c r="G56" s="2">
        <f t="shared" si="3"/>
        <v>16.169499999999999</v>
      </c>
      <c r="H56" s="2">
        <f t="shared" si="4"/>
        <v>0.56084516574387588</v>
      </c>
      <c r="I56" s="2">
        <f t="shared" si="5"/>
        <v>1.2152097147939025</v>
      </c>
      <c r="J56" s="2">
        <f t="shared" si="6"/>
        <v>16.169499999999999</v>
      </c>
    </row>
    <row r="57" spans="1:10">
      <c r="A57" s="1">
        <v>1981</v>
      </c>
      <c r="B57" s="3">
        <v>16.211099999999998</v>
      </c>
      <c r="C57" s="2">
        <f t="shared" si="7"/>
        <v>52</v>
      </c>
      <c r="D57" s="2">
        <f t="shared" si="0"/>
        <v>0.52742230347349173</v>
      </c>
      <c r="E57" s="2">
        <f t="shared" si="1"/>
        <v>0.74955310847349732</v>
      </c>
      <c r="F57" s="2">
        <f t="shared" si="2"/>
        <v>1.3341282808319619</v>
      </c>
      <c r="G57" s="2">
        <f t="shared" si="3"/>
        <v>16.211099999999998</v>
      </c>
      <c r="H57" s="2">
        <f t="shared" si="4"/>
        <v>0.55834113846142408</v>
      </c>
      <c r="I57" s="2">
        <f t="shared" si="5"/>
        <v>1.2236644446777432</v>
      </c>
      <c r="J57" s="2">
        <f t="shared" si="6"/>
        <v>16.211099999999998</v>
      </c>
    </row>
    <row r="58" spans="1:10">
      <c r="A58" s="1">
        <v>1950</v>
      </c>
      <c r="B58" s="3">
        <v>16.278500000000001</v>
      </c>
      <c r="C58" s="2">
        <f t="shared" si="7"/>
        <v>53</v>
      </c>
      <c r="D58" s="2">
        <f t="shared" si="0"/>
        <v>0.51828153564899448</v>
      </c>
      <c r="E58" s="2">
        <f t="shared" si="1"/>
        <v>0.7303954344405641</v>
      </c>
      <c r="F58" s="2">
        <f t="shared" si="2"/>
        <v>1.3691213729531806</v>
      </c>
      <c r="G58" s="2">
        <f t="shared" si="3"/>
        <v>16.278500000000001</v>
      </c>
      <c r="H58" s="2">
        <f t="shared" si="4"/>
        <v>0.55429090524187341</v>
      </c>
      <c r="I58" s="2">
        <f t="shared" si="5"/>
        <v>1.2374877709277985</v>
      </c>
      <c r="J58" s="2">
        <f t="shared" si="6"/>
        <v>16.278500000000001</v>
      </c>
    </row>
    <row r="59" spans="1:10">
      <c r="A59" s="1">
        <v>1918</v>
      </c>
      <c r="B59" s="3">
        <v>16.292100000000001</v>
      </c>
      <c r="C59" s="2">
        <f t="shared" si="7"/>
        <v>54</v>
      </c>
      <c r="D59" s="2">
        <f t="shared" si="0"/>
        <v>0.50914076782449724</v>
      </c>
      <c r="E59" s="2">
        <f t="shared" si="1"/>
        <v>0.71159788847306182</v>
      </c>
      <c r="F59" s="2">
        <f t="shared" si="2"/>
        <v>1.4052880372450063</v>
      </c>
      <c r="G59" s="2">
        <f t="shared" si="3"/>
        <v>16.292100000000001</v>
      </c>
      <c r="H59" s="2">
        <f t="shared" si="4"/>
        <v>0.55347469228905677</v>
      </c>
      <c r="I59" s="2">
        <f t="shared" si="5"/>
        <v>1.2402959245804017</v>
      </c>
      <c r="J59" s="2">
        <f t="shared" si="6"/>
        <v>16.292100000000001</v>
      </c>
    </row>
    <row r="60" spans="1:10">
      <c r="A60" s="1">
        <v>2007</v>
      </c>
      <c r="B60" s="3">
        <v>16.313400000000001</v>
      </c>
      <c r="C60" s="2">
        <f t="shared" si="7"/>
        <v>55</v>
      </c>
      <c r="D60" s="2">
        <f t="shared" si="0"/>
        <v>0.5</v>
      </c>
      <c r="E60" s="2">
        <f t="shared" si="1"/>
        <v>0.69314718055994529</v>
      </c>
      <c r="F60" s="2">
        <f t="shared" si="2"/>
        <v>1.4426950408889634</v>
      </c>
      <c r="G60" s="2">
        <f t="shared" si="3"/>
        <v>16.313400000000001</v>
      </c>
      <c r="H60" s="2">
        <f t="shared" si="4"/>
        <v>0.55219708012164181</v>
      </c>
      <c r="I60" s="2">
        <f t="shared" si="5"/>
        <v>1.2447067997838119</v>
      </c>
      <c r="J60" s="2">
        <f t="shared" si="6"/>
        <v>16.313400000000001</v>
      </c>
    </row>
    <row r="61" spans="1:10">
      <c r="A61" s="1">
        <v>1935</v>
      </c>
      <c r="B61" s="3">
        <v>16.601400000000002</v>
      </c>
      <c r="C61" s="2">
        <f t="shared" si="7"/>
        <v>56</v>
      </c>
      <c r="D61" s="2">
        <f t="shared" si="0"/>
        <v>0.49085923217550276</v>
      </c>
      <c r="E61" s="2">
        <f t="shared" si="1"/>
        <v>0.6750307430546425</v>
      </c>
      <c r="F61" s="2">
        <f t="shared" si="2"/>
        <v>1.481414010086133</v>
      </c>
      <c r="G61" s="2">
        <f t="shared" si="3"/>
        <v>16.601400000000002</v>
      </c>
      <c r="H61" s="2">
        <f t="shared" si="4"/>
        <v>0.5350147724462424</v>
      </c>
      <c r="I61" s="2">
        <f t="shared" si="5"/>
        <v>1.3059098488160064</v>
      </c>
      <c r="J61" s="2">
        <f t="shared" si="6"/>
        <v>16.601400000000002</v>
      </c>
    </row>
    <row r="62" spans="1:10">
      <c r="A62" s="1">
        <v>1913</v>
      </c>
      <c r="B62" s="3">
        <v>16.9391</v>
      </c>
      <c r="C62" s="2">
        <f t="shared" si="7"/>
        <v>57</v>
      </c>
      <c r="D62" s="2">
        <f t="shared" si="0"/>
        <v>0.48171846435100552</v>
      </c>
      <c r="E62" s="2">
        <f t="shared" si="1"/>
        <v>0.65723667925417451</v>
      </c>
      <c r="F62" s="2">
        <f t="shared" si="2"/>
        <v>1.5215218985264027</v>
      </c>
      <c r="G62" s="2">
        <f t="shared" si="3"/>
        <v>16.9391</v>
      </c>
      <c r="H62" s="2">
        <f t="shared" si="4"/>
        <v>0.51511384036289409</v>
      </c>
      <c r="I62" s="2">
        <f t="shared" si="5"/>
        <v>1.3815186061009799</v>
      </c>
      <c r="J62" s="2">
        <f t="shared" si="6"/>
        <v>16.9391</v>
      </c>
    </row>
    <row r="63" spans="1:10">
      <c r="A63" s="1">
        <v>2004</v>
      </c>
      <c r="B63" s="3">
        <v>17.167200000000001</v>
      </c>
      <c r="C63" s="2">
        <f t="shared" si="7"/>
        <v>58</v>
      </c>
      <c r="D63" s="2">
        <f t="shared" si="0"/>
        <v>0.47257769652650827</v>
      </c>
      <c r="E63" s="2">
        <f t="shared" si="1"/>
        <v>0.63975371647382706</v>
      </c>
      <c r="F63" s="2">
        <f t="shared" si="2"/>
        <v>1.5631015096118022</v>
      </c>
      <c r="G63" s="2">
        <f t="shared" si="3"/>
        <v>17.167200000000001</v>
      </c>
      <c r="H63" s="2">
        <f t="shared" si="4"/>
        <v>0.50184281369333283</v>
      </c>
      <c r="I63" s="2">
        <f t="shared" si="5"/>
        <v>1.4350504422679142</v>
      </c>
      <c r="J63" s="2">
        <f t="shared" si="6"/>
        <v>17.167200000000001</v>
      </c>
    </row>
    <row r="64" spans="1:10">
      <c r="A64" s="1">
        <v>1958</v>
      </c>
      <c r="B64" s="3">
        <v>17.4876</v>
      </c>
      <c r="C64" s="2">
        <f t="shared" si="7"/>
        <v>59</v>
      </c>
      <c r="D64" s="2">
        <f t="shared" si="0"/>
        <v>0.46343692870201092</v>
      </c>
      <c r="E64" s="2">
        <f t="shared" si="1"/>
        <v>0.62257116315382999</v>
      </c>
      <c r="F64" s="2">
        <f t="shared" si="2"/>
        <v>1.6062420799161103</v>
      </c>
      <c r="G64" s="2">
        <f t="shared" si="3"/>
        <v>17.4876</v>
      </c>
      <c r="H64" s="2">
        <f t="shared" si="4"/>
        <v>0.48346099204888715</v>
      </c>
      <c r="I64" s="2">
        <f t="shared" si="5"/>
        <v>1.5137651135292791</v>
      </c>
      <c r="J64" s="2">
        <f t="shared" si="6"/>
        <v>17.4876</v>
      </c>
    </row>
    <row r="65" spans="1:10">
      <c r="A65" s="1">
        <v>1960</v>
      </c>
      <c r="B65" s="3">
        <v>17.523299999999999</v>
      </c>
      <c r="C65" s="2">
        <f t="shared" si="7"/>
        <v>60</v>
      </c>
      <c r="D65" s="2">
        <f t="shared" si="0"/>
        <v>0.45429616087751368</v>
      </c>
      <c r="E65" s="2">
        <f t="shared" si="1"/>
        <v>0.60567886958932438</v>
      </c>
      <c r="F65" s="2">
        <f t="shared" si="2"/>
        <v>1.6510399325603713</v>
      </c>
      <c r="G65" s="2">
        <f t="shared" si="3"/>
        <v>17.523299999999999</v>
      </c>
      <c r="H65" s="2">
        <f t="shared" si="4"/>
        <v>0.48143274209807996</v>
      </c>
      <c r="I65" s="2">
        <f t="shared" si="5"/>
        <v>1.5227988647131177</v>
      </c>
      <c r="J65" s="2">
        <f t="shared" si="6"/>
        <v>17.523299999999999</v>
      </c>
    </row>
    <row r="66" spans="1:10">
      <c r="A66" s="1">
        <v>1975</v>
      </c>
      <c r="B66" s="3">
        <v>17.6418</v>
      </c>
      <c r="C66" s="2">
        <f t="shared" si="7"/>
        <v>61</v>
      </c>
      <c r="D66" s="2">
        <f t="shared" si="0"/>
        <v>0.44515539305301643</v>
      </c>
      <c r="E66" s="2">
        <f t="shared" si="1"/>
        <v>0.58906719192242818</v>
      </c>
      <c r="F66" s="2">
        <f t="shared" si="2"/>
        <v>1.6975992106036111</v>
      </c>
      <c r="G66" s="2">
        <f t="shared" si="3"/>
        <v>17.6418</v>
      </c>
      <c r="H66" s="2">
        <f t="shared" si="4"/>
        <v>0.47473019763792457</v>
      </c>
      <c r="I66" s="2">
        <f t="shared" si="5"/>
        <v>1.5531731005557019</v>
      </c>
      <c r="J66" s="2">
        <f t="shared" si="6"/>
        <v>17.6418</v>
      </c>
    </row>
    <row r="67" spans="1:10">
      <c r="A67" s="1">
        <v>1938</v>
      </c>
      <c r="B67" s="3">
        <v>17.675999999999998</v>
      </c>
      <c r="C67" s="2">
        <f t="shared" si="7"/>
        <v>62</v>
      </c>
      <c r="D67" s="2">
        <f t="shared" si="0"/>
        <v>0.43601462522851919</v>
      </c>
      <c r="E67" s="2">
        <f t="shared" si="1"/>
        <v>0.5727269590765387</v>
      </c>
      <c r="F67" s="2">
        <f t="shared" si="2"/>
        <v>1.7460327022363216</v>
      </c>
      <c r="G67" s="2">
        <f t="shared" si="3"/>
        <v>17.675999999999998</v>
      </c>
      <c r="H67" s="2">
        <f t="shared" si="4"/>
        <v>0.47280446866944936</v>
      </c>
      <c r="I67" s="2">
        <f t="shared" si="5"/>
        <v>1.5620514665337437</v>
      </c>
      <c r="J67" s="2">
        <f t="shared" si="6"/>
        <v>17.675999999999998</v>
      </c>
    </row>
    <row r="68" spans="1:10">
      <c r="A68" s="1">
        <v>1916</v>
      </c>
      <c r="B68" s="3">
        <v>18.1219</v>
      </c>
      <c r="C68" s="2">
        <f t="shared" si="7"/>
        <v>63</v>
      </c>
      <c r="D68" s="2">
        <f t="shared" si="0"/>
        <v>0.42687385740402195</v>
      </c>
      <c r="E68" s="2">
        <f t="shared" si="1"/>
        <v>0.55664944234900582</v>
      </c>
      <c r="F68" s="2">
        <f t="shared" si="2"/>
        <v>1.7964627715786412</v>
      </c>
      <c r="G68" s="2">
        <f t="shared" si="3"/>
        <v>18.1219</v>
      </c>
      <c r="H68" s="2">
        <f t="shared" si="4"/>
        <v>0.44806903996933167</v>
      </c>
      <c r="I68" s="2">
        <f t="shared" si="5"/>
        <v>1.6825603761318579</v>
      </c>
      <c r="J68" s="2">
        <f t="shared" si="6"/>
        <v>18.1219</v>
      </c>
    </row>
    <row r="69" spans="1:10">
      <c r="A69" s="1">
        <v>1942</v>
      </c>
      <c r="B69" s="3">
        <v>18.146000000000001</v>
      </c>
      <c r="C69" s="2">
        <f t="shared" si="7"/>
        <v>64</v>
      </c>
      <c r="D69" s="2">
        <f t="shared" si="0"/>
        <v>0.41773308957952471</v>
      </c>
      <c r="E69" s="2">
        <f t="shared" si="1"/>
        <v>0.54082632740976322</v>
      </c>
      <c r="F69" s="2">
        <f t="shared" si="2"/>
        <v>1.849022411296813</v>
      </c>
      <c r="G69" s="2">
        <f t="shared" si="3"/>
        <v>18.146000000000001</v>
      </c>
      <c r="H69" s="2">
        <f t="shared" si="4"/>
        <v>0.44675252615847039</v>
      </c>
      <c r="I69" s="2">
        <f t="shared" si="5"/>
        <v>1.6893322513875619</v>
      </c>
      <c r="J69" s="2">
        <f t="shared" si="6"/>
        <v>18.146000000000001</v>
      </c>
    </row>
    <row r="70" spans="1:10">
      <c r="A70" s="1">
        <v>1911</v>
      </c>
      <c r="B70" s="3">
        <v>18.152699999999999</v>
      </c>
      <c r="C70" s="2">
        <f t="shared" si="7"/>
        <v>65</v>
      </c>
      <c r="D70" s="2">
        <f t="shared" si="0"/>
        <v>0.40859232175502747</v>
      </c>
      <c r="E70" s="2">
        <f t="shared" si="1"/>
        <v>0.52524968848102604</v>
      </c>
      <c r="F70" s="2">
        <f t="shared" si="2"/>
        <v>1.9038564361492689</v>
      </c>
      <c r="G70" s="2">
        <f t="shared" si="3"/>
        <v>18.152699999999999</v>
      </c>
      <c r="H70" s="2">
        <f t="shared" si="4"/>
        <v>0.44638690701704409</v>
      </c>
      <c r="I70" s="2">
        <f t="shared" si="5"/>
        <v>1.6912197260454971</v>
      </c>
      <c r="J70" s="2">
        <f t="shared" si="6"/>
        <v>18.152699999999999</v>
      </c>
    </row>
    <row r="71" spans="1:10">
      <c r="A71" s="1">
        <v>2012</v>
      </c>
      <c r="B71" s="3">
        <v>18.171800000000001</v>
      </c>
      <c r="C71" s="2">
        <f t="shared" si="7"/>
        <v>66</v>
      </c>
      <c r="D71" s="2">
        <f t="shared" ref="D71:D114" si="8">1-(C71-0.3)/(COUNT($B$6:$B$114)+0.4)</f>
        <v>0.39945155393053022</v>
      </c>
      <c r="E71" s="2">
        <f t="shared" ref="E71:E114" si="9">-LN(1-D71)</f>
        <v>0.50991196449731613</v>
      </c>
      <c r="F71" s="2">
        <f t="shared" ref="F71:F114" si="10">1/E71</f>
        <v>1.9611228400687259</v>
      </c>
      <c r="G71" s="2">
        <f t="shared" ref="G71:G114" si="11">B71</f>
        <v>18.171800000000001</v>
      </c>
      <c r="H71" s="2">
        <f t="shared" ref="H71:H114" si="12">1-GUMBELVERDELINGSFUNCTIE($G$2,$G$3,G71)</f>
        <v>0.44534553594525239</v>
      </c>
      <c r="I71" s="2">
        <f t="shared" ref="I71:I114" si="13">1/(-LN(1-H71))</f>
        <v>1.6966120203549009</v>
      </c>
      <c r="J71" s="2">
        <f t="shared" ref="J71:J114" si="14">G71</f>
        <v>18.171800000000001</v>
      </c>
    </row>
    <row r="72" spans="1:10">
      <c r="A72" s="1">
        <v>1948</v>
      </c>
      <c r="B72" s="3">
        <v>19.1403</v>
      </c>
      <c r="C72" s="2">
        <f t="shared" ref="C72:C114" si="15">C71+1</f>
        <v>67</v>
      </c>
      <c r="D72" s="2">
        <f t="shared" si="8"/>
        <v>0.39031078610603287</v>
      </c>
      <c r="E72" s="2">
        <f t="shared" si="9"/>
        <v>0.49480593706630271</v>
      </c>
      <c r="F72" s="2">
        <f t="shared" si="10"/>
        <v>2.0209943436188045</v>
      </c>
      <c r="G72" s="2">
        <f t="shared" si="11"/>
        <v>19.1403</v>
      </c>
      <c r="H72" s="2">
        <f t="shared" si="12"/>
        <v>0.39440933466502748</v>
      </c>
      <c r="I72" s="2">
        <f t="shared" si="13"/>
        <v>1.9938152215119302</v>
      </c>
      <c r="J72" s="2">
        <f t="shared" si="14"/>
        <v>19.1403</v>
      </c>
    </row>
    <row r="73" spans="1:10">
      <c r="A73" s="1">
        <v>1943</v>
      </c>
      <c r="B73" s="3">
        <v>19.478400000000001</v>
      </c>
      <c r="C73" s="2">
        <f t="shared" si="15"/>
        <v>68</v>
      </c>
      <c r="D73" s="2">
        <f t="shared" si="8"/>
        <v>0.38117001828153563</v>
      </c>
      <c r="E73" s="2">
        <f t="shared" si="9"/>
        <v>0.47992471006965148</v>
      </c>
      <c r="F73" s="2">
        <f t="shared" si="10"/>
        <v>2.08366016380959</v>
      </c>
      <c r="G73" s="2">
        <f t="shared" si="11"/>
        <v>19.478400000000001</v>
      </c>
      <c r="H73" s="2">
        <f t="shared" si="12"/>
        <v>0.37753640665665866</v>
      </c>
      <c r="I73" s="2">
        <f t="shared" si="13"/>
        <v>2.1093925182659898</v>
      </c>
      <c r="J73" s="2">
        <f t="shared" si="14"/>
        <v>19.478400000000001</v>
      </c>
    </row>
    <row r="74" spans="1:10">
      <c r="A74" s="1">
        <v>1969</v>
      </c>
      <c r="B74" s="3">
        <v>19.671700000000001</v>
      </c>
      <c r="C74" s="2">
        <f t="shared" si="15"/>
        <v>69</v>
      </c>
      <c r="D74" s="2">
        <f t="shared" si="8"/>
        <v>0.37202925045703839</v>
      </c>
      <c r="E74" s="2">
        <f t="shared" si="9"/>
        <v>0.46526169075957718</v>
      </c>
      <c r="F74" s="2">
        <f t="shared" si="10"/>
        <v>2.1493280445407388</v>
      </c>
      <c r="G74" s="2">
        <f t="shared" si="11"/>
        <v>19.671700000000001</v>
      </c>
      <c r="H74" s="2">
        <f t="shared" si="12"/>
        <v>0.36811039670789669</v>
      </c>
      <c r="I74" s="2">
        <f t="shared" si="13"/>
        <v>2.1784566484802594</v>
      </c>
      <c r="J74" s="2">
        <f t="shared" si="14"/>
        <v>19.671700000000001</v>
      </c>
    </row>
    <row r="75" spans="1:10">
      <c r="A75" s="1">
        <v>1912</v>
      </c>
      <c r="B75" s="3">
        <v>19.8004</v>
      </c>
      <c r="C75" s="2">
        <f t="shared" si="15"/>
        <v>70</v>
      </c>
      <c r="D75" s="2">
        <f t="shared" si="8"/>
        <v>0.36288848263254114</v>
      </c>
      <c r="E75" s="2">
        <f t="shared" si="9"/>
        <v>0.45081057222140264</v>
      </c>
      <c r="F75" s="2">
        <f t="shared" si="10"/>
        <v>2.2182265936498018</v>
      </c>
      <c r="G75" s="2">
        <f t="shared" si="11"/>
        <v>19.8004</v>
      </c>
      <c r="H75" s="2">
        <f t="shared" si="12"/>
        <v>0.36192472062772663</v>
      </c>
      <c r="I75" s="2">
        <f t="shared" si="13"/>
        <v>2.2256893028334566</v>
      </c>
      <c r="J75" s="2">
        <f t="shared" si="14"/>
        <v>19.8004</v>
      </c>
    </row>
    <row r="76" spans="1:10">
      <c r="A76" s="1">
        <v>1987</v>
      </c>
      <c r="B76" s="3">
        <v>20.132899999999999</v>
      </c>
      <c r="C76" s="2">
        <f t="shared" si="15"/>
        <v>71</v>
      </c>
      <c r="D76" s="2">
        <f t="shared" si="8"/>
        <v>0.3537477148080439</v>
      </c>
      <c r="E76" s="2">
        <f t="shared" si="9"/>
        <v>0.43656531708535379</v>
      </c>
      <c r="F76" s="2">
        <f t="shared" si="10"/>
        <v>2.2906079820456462</v>
      </c>
      <c r="G76" s="2">
        <f t="shared" si="11"/>
        <v>20.132899999999999</v>
      </c>
      <c r="H76" s="2">
        <f t="shared" si="12"/>
        <v>0.3462810024462144</v>
      </c>
      <c r="I76" s="2">
        <f t="shared" si="13"/>
        <v>2.3525111528900258</v>
      </c>
      <c r="J76" s="2">
        <f t="shared" si="14"/>
        <v>20.132899999999999</v>
      </c>
    </row>
    <row r="77" spans="1:10">
      <c r="A77" s="1">
        <v>2010</v>
      </c>
      <c r="B77" s="3">
        <v>20.166699999999999</v>
      </c>
      <c r="C77" s="2">
        <f t="shared" si="15"/>
        <v>72</v>
      </c>
      <c r="D77" s="2">
        <f t="shared" si="8"/>
        <v>0.34460694698354666</v>
      </c>
      <c r="E77" s="2">
        <f t="shared" si="9"/>
        <v>0.42252014238230623</v>
      </c>
      <c r="F77" s="2">
        <f t="shared" si="10"/>
        <v>2.3667510721777054</v>
      </c>
      <c r="G77" s="2">
        <f t="shared" si="11"/>
        <v>20.166699999999999</v>
      </c>
      <c r="H77" s="2">
        <f t="shared" si="12"/>
        <v>0.34471813984266442</v>
      </c>
      <c r="I77" s="2">
        <f t="shared" si="13"/>
        <v>2.3658010303940542</v>
      </c>
      <c r="J77" s="2">
        <f t="shared" si="14"/>
        <v>20.166699999999999</v>
      </c>
    </row>
    <row r="78" spans="1:10">
      <c r="A78" s="1">
        <v>1919</v>
      </c>
      <c r="B78" s="3">
        <v>20.573399999999999</v>
      </c>
      <c r="C78" s="2">
        <f t="shared" si="15"/>
        <v>73</v>
      </c>
      <c r="D78" s="2">
        <f t="shared" si="8"/>
        <v>0.33546617915904942</v>
      </c>
      <c r="E78" s="2">
        <f t="shared" si="9"/>
        <v>0.40866950544840724</v>
      </c>
      <c r="F78" s="2">
        <f t="shared" si="10"/>
        <v>2.4469650577494475</v>
      </c>
      <c r="G78" s="2">
        <f t="shared" si="11"/>
        <v>20.573399999999999</v>
      </c>
      <c r="H78" s="2">
        <f t="shared" si="12"/>
        <v>0.32631184841268124</v>
      </c>
      <c r="I78" s="2">
        <f t="shared" si="13"/>
        <v>2.5317227503384432</v>
      </c>
      <c r="J78" s="2">
        <f t="shared" si="14"/>
        <v>20.573399999999999</v>
      </c>
    </row>
    <row r="79" spans="1:10">
      <c r="A79" s="1">
        <v>1931</v>
      </c>
      <c r="B79" s="3">
        <v>20.658100000000001</v>
      </c>
      <c r="C79" s="2">
        <f t="shared" si="15"/>
        <v>74</v>
      </c>
      <c r="D79" s="2">
        <f t="shared" si="8"/>
        <v>0.32632541133455206</v>
      </c>
      <c r="E79" s="2">
        <f t="shared" si="9"/>
        <v>0.39500809079258986</v>
      </c>
      <c r="F79" s="2">
        <f t="shared" si="10"/>
        <v>2.531593714937546</v>
      </c>
      <c r="G79" s="2">
        <f t="shared" si="11"/>
        <v>20.658100000000001</v>
      </c>
      <c r="H79" s="2">
        <f t="shared" si="12"/>
        <v>0.32257146623739752</v>
      </c>
      <c r="I79" s="2">
        <f t="shared" si="13"/>
        <v>2.5677156889340607</v>
      </c>
      <c r="J79" s="2">
        <f t="shared" si="14"/>
        <v>20.658100000000001</v>
      </c>
    </row>
    <row r="80" spans="1:10">
      <c r="A80" s="1">
        <v>1927</v>
      </c>
      <c r="B80" s="3">
        <v>20.918700000000001</v>
      </c>
      <c r="C80" s="2">
        <f t="shared" si="15"/>
        <v>75</v>
      </c>
      <c r="D80" s="2">
        <f t="shared" si="8"/>
        <v>0.31718464351005482</v>
      </c>
      <c r="E80" s="2">
        <f t="shared" si="9"/>
        <v>0.38153079784910915</v>
      </c>
      <c r="F80" s="2">
        <f t="shared" si="10"/>
        <v>2.6210203884916465</v>
      </c>
      <c r="G80" s="2">
        <f t="shared" si="11"/>
        <v>20.918700000000001</v>
      </c>
      <c r="H80" s="2">
        <f t="shared" si="12"/>
        <v>0.31126461093992908</v>
      </c>
      <c r="I80" s="2">
        <f t="shared" si="13"/>
        <v>2.6816975280643045</v>
      </c>
      <c r="J80" s="2">
        <f t="shared" si="14"/>
        <v>20.918700000000001</v>
      </c>
    </row>
    <row r="81" spans="1:10">
      <c r="A81" s="1">
        <v>1946</v>
      </c>
      <c r="B81" s="3">
        <v>21.005700000000001</v>
      </c>
      <c r="C81" s="2">
        <f t="shared" si="15"/>
        <v>76</v>
      </c>
      <c r="D81" s="2">
        <f t="shared" si="8"/>
        <v>0.30804387568555758</v>
      </c>
      <c r="E81" s="2">
        <f t="shared" si="9"/>
        <v>0.36823272954447772</v>
      </c>
      <c r="F81" s="2">
        <f t="shared" si="10"/>
        <v>2.7156738653759809</v>
      </c>
      <c r="G81" s="2">
        <f t="shared" si="11"/>
        <v>21.005700000000001</v>
      </c>
      <c r="H81" s="2">
        <f t="shared" si="12"/>
        <v>0.30755753101890626</v>
      </c>
      <c r="I81" s="2">
        <f t="shared" si="13"/>
        <v>2.7208654232092799</v>
      </c>
      <c r="J81" s="2">
        <f t="shared" si="14"/>
        <v>21.005700000000001</v>
      </c>
    </row>
    <row r="82" spans="1:10">
      <c r="A82" s="1">
        <v>1963</v>
      </c>
      <c r="B82" s="3">
        <v>21.546700000000001</v>
      </c>
      <c r="C82" s="2">
        <f t="shared" si="15"/>
        <v>77</v>
      </c>
      <c r="D82" s="2">
        <f t="shared" si="8"/>
        <v>0.29890310786106034</v>
      </c>
      <c r="E82" s="2">
        <f t="shared" si="9"/>
        <v>0.35510918161467031</v>
      </c>
      <c r="F82" s="2">
        <f t="shared" si="10"/>
        <v>2.8160353259609661</v>
      </c>
      <c r="G82" s="2">
        <f t="shared" si="11"/>
        <v>21.546700000000001</v>
      </c>
      <c r="H82" s="2">
        <f t="shared" si="12"/>
        <v>0.28526344697941253</v>
      </c>
      <c r="I82" s="2">
        <f t="shared" si="13"/>
        <v>2.977597200345127</v>
      </c>
      <c r="J82" s="2">
        <f t="shared" si="14"/>
        <v>21.546700000000001</v>
      </c>
    </row>
    <row r="83" spans="1:10">
      <c r="A83" s="1">
        <v>1967</v>
      </c>
      <c r="B83" s="3">
        <v>21.7499</v>
      </c>
      <c r="C83" s="2">
        <f t="shared" si="15"/>
        <v>78</v>
      </c>
      <c r="D83" s="2">
        <f t="shared" si="8"/>
        <v>0.28976234003656309</v>
      </c>
      <c r="E83" s="2">
        <f t="shared" si="9"/>
        <v>0.34215563261427911</v>
      </c>
      <c r="F83" s="2">
        <f t="shared" si="10"/>
        <v>2.9226466107232723</v>
      </c>
      <c r="G83" s="2">
        <f t="shared" si="11"/>
        <v>21.7499</v>
      </c>
      <c r="H83" s="2">
        <f t="shared" si="12"/>
        <v>0.27722541176568216</v>
      </c>
      <c r="I83" s="2">
        <f t="shared" si="13"/>
        <v>3.0801655123983553</v>
      </c>
      <c r="J83" s="2">
        <f t="shared" si="14"/>
        <v>21.7499</v>
      </c>
    </row>
    <row r="84" spans="1:10">
      <c r="A84" s="1">
        <v>1936</v>
      </c>
      <c r="B84" s="3">
        <v>21.8795</v>
      </c>
      <c r="C84" s="2">
        <f t="shared" si="15"/>
        <v>79</v>
      </c>
      <c r="D84" s="2">
        <f t="shared" si="8"/>
        <v>0.28062157221206585</v>
      </c>
      <c r="E84" s="2">
        <f t="shared" si="9"/>
        <v>0.32936773456452334</v>
      </c>
      <c r="F84" s="2">
        <f t="shared" si="10"/>
        <v>3.0361201024203521</v>
      </c>
      <c r="G84" s="2">
        <f t="shared" si="11"/>
        <v>21.8795</v>
      </c>
      <c r="H84" s="2">
        <f t="shared" si="12"/>
        <v>0.27219379047433401</v>
      </c>
      <c r="I84" s="2">
        <f t="shared" si="13"/>
        <v>3.1474208300301667</v>
      </c>
      <c r="J84" s="2">
        <f t="shared" si="14"/>
        <v>21.8795</v>
      </c>
    </row>
    <row r="85" spans="1:10">
      <c r="A85" s="1">
        <v>1940</v>
      </c>
      <c r="B85" s="3">
        <v>22.008500000000002</v>
      </c>
      <c r="C85" s="2">
        <f t="shared" si="15"/>
        <v>80</v>
      </c>
      <c r="D85" s="2">
        <f t="shared" si="8"/>
        <v>0.27148080438756861</v>
      </c>
      <c r="E85" s="2">
        <f t="shared" si="9"/>
        <v>0.31674130419171154</v>
      </c>
      <c r="F85" s="2">
        <f t="shared" si="10"/>
        <v>3.1571506045032187</v>
      </c>
      <c r="G85" s="2">
        <f t="shared" si="11"/>
        <v>22.008500000000002</v>
      </c>
      <c r="H85" s="2">
        <f t="shared" si="12"/>
        <v>0.26725856015035965</v>
      </c>
      <c r="I85" s="2">
        <f t="shared" si="13"/>
        <v>3.2158230670327215</v>
      </c>
      <c r="J85" s="2">
        <f t="shared" si="14"/>
        <v>22.008500000000002</v>
      </c>
    </row>
    <row r="86" spans="1:10">
      <c r="A86" s="1">
        <v>1944</v>
      </c>
      <c r="B86" s="3">
        <v>22.025200000000002</v>
      </c>
      <c r="C86" s="2">
        <f t="shared" si="15"/>
        <v>81</v>
      </c>
      <c r="D86" s="2">
        <f t="shared" si="8"/>
        <v>0.26234003656307125</v>
      </c>
      <c r="E86" s="2">
        <f t="shared" si="9"/>
        <v>0.30427231471197763</v>
      </c>
      <c r="F86" s="2">
        <f t="shared" si="10"/>
        <v>3.2865297026664884</v>
      </c>
      <c r="G86" s="2">
        <f t="shared" si="11"/>
        <v>22.025200000000002</v>
      </c>
      <c r="H86" s="2">
        <f t="shared" si="12"/>
        <v>0.26662497167214716</v>
      </c>
      <c r="I86" s="2">
        <f t="shared" si="13"/>
        <v>3.2247862425354361</v>
      </c>
      <c r="J86" s="2">
        <f t="shared" si="14"/>
        <v>22.025200000000002</v>
      </c>
    </row>
    <row r="87" spans="1:10">
      <c r="A87" s="1">
        <v>2002</v>
      </c>
      <c r="B87" s="3">
        <v>22.389299999999999</v>
      </c>
      <c r="C87" s="2">
        <f t="shared" si="15"/>
        <v>82</v>
      </c>
      <c r="D87" s="2">
        <f t="shared" si="8"/>
        <v>0.25319926873857401</v>
      </c>
      <c r="E87" s="2">
        <f t="shared" si="9"/>
        <v>0.29195688812192361</v>
      </c>
      <c r="F87" s="2">
        <f t="shared" si="10"/>
        <v>3.425163237054341</v>
      </c>
      <c r="G87" s="2">
        <f t="shared" si="11"/>
        <v>22.389299999999999</v>
      </c>
      <c r="H87" s="2">
        <f t="shared" si="12"/>
        <v>0.2531118782307854</v>
      </c>
      <c r="I87" s="2">
        <f t="shared" si="13"/>
        <v>3.4265365539470962</v>
      </c>
      <c r="J87" s="2">
        <f t="shared" si="14"/>
        <v>22.389299999999999</v>
      </c>
    </row>
    <row r="88" spans="1:10">
      <c r="A88" s="1">
        <v>1934</v>
      </c>
      <c r="B88" s="3">
        <v>23.144300000000001</v>
      </c>
      <c r="C88" s="2">
        <f t="shared" si="15"/>
        <v>83</v>
      </c>
      <c r="D88" s="2">
        <f t="shared" si="8"/>
        <v>0.24405850091407677</v>
      </c>
      <c r="E88" s="2">
        <f t="shared" si="9"/>
        <v>0.27979128795823516</v>
      </c>
      <c r="F88" s="2">
        <f t="shared" si="10"/>
        <v>3.5740927006607563</v>
      </c>
      <c r="G88" s="2">
        <f t="shared" si="11"/>
        <v>23.144300000000001</v>
      </c>
      <c r="H88" s="2">
        <f t="shared" si="12"/>
        <v>0.2268894698698577</v>
      </c>
      <c r="I88" s="2">
        <f t="shared" si="13"/>
        <v>3.8860115895385214</v>
      </c>
      <c r="J88" s="2">
        <f t="shared" si="14"/>
        <v>23.144300000000001</v>
      </c>
    </row>
    <row r="89" spans="1:10">
      <c r="A89" s="1">
        <v>2000</v>
      </c>
      <c r="B89" s="3">
        <v>23.311</v>
      </c>
      <c r="C89" s="2">
        <f t="shared" si="15"/>
        <v>84</v>
      </c>
      <c r="D89" s="2">
        <f t="shared" si="8"/>
        <v>0.23491773308957953</v>
      </c>
      <c r="E89" s="2">
        <f t="shared" si="9"/>
        <v>0.26777191249245119</v>
      </c>
      <c r="F89" s="2">
        <f t="shared" si="10"/>
        <v>3.7345216333254938</v>
      </c>
      <c r="G89" s="2">
        <f t="shared" si="11"/>
        <v>23.311</v>
      </c>
      <c r="H89" s="2">
        <f t="shared" si="12"/>
        <v>0.22141887212364997</v>
      </c>
      <c r="I89" s="2">
        <f t="shared" si="13"/>
        <v>3.9954917646208785</v>
      </c>
      <c r="J89" s="2">
        <f t="shared" si="14"/>
        <v>23.311</v>
      </c>
    </row>
    <row r="90" spans="1:10">
      <c r="A90" s="1">
        <v>1989</v>
      </c>
      <c r="B90" s="3">
        <v>23.517199999999999</v>
      </c>
      <c r="C90" s="2">
        <f t="shared" si="15"/>
        <v>85</v>
      </c>
      <c r="D90" s="2">
        <f t="shared" si="8"/>
        <v>0.22577696526508229</v>
      </c>
      <c r="E90" s="2">
        <f t="shared" si="9"/>
        <v>0.25589528832987213</v>
      </c>
      <c r="F90" s="2">
        <f t="shared" si="10"/>
        <v>3.9078484270914347</v>
      </c>
      <c r="G90" s="2">
        <f t="shared" si="11"/>
        <v>23.517199999999999</v>
      </c>
      <c r="H90" s="2">
        <f t="shared" si="12"/>
        <v>0.21480787278075575</v>
      </c>
      <c r="I90" s="2">
        <f t="shared" si="13"/>
        <v>4.1351902344623213</v>
      </c>
      <c r="J90" s="2">
        <f t="shared" si="14"/>
        <v>23.517199999999999</v>
      </c>
    </row>
    <row r="91" spans="1:10">
      <c r="A91" s="1">
        <v>2009</v>
      </c>
      <c r="B91" s="3">
        <v>23.552199999999999</v>
      </c>
      <c r="C91" s="2">
        <f t="shared" si="15"/>
        <v>86</v>
      </c>
      <c r="D91" s="2">
        <f t="shared" si="8"/>
        <v>0.21663619744058504</v>
      </c>
      <c r="E91" s="2">
        <f t="shared" si="9"/>
        <v>0.24415806438414678</v>
      </c>
      <c r="F91" s="2">
        <f t="shared" si="10"/>
        <v>4.0957074365835702</v>
      </c>
      <c r="G91" s="2">
        <f t="shared" si="11"/>
        <v>23.552199999999999</v>
      </c>
      <c r="H91" s="2">
        <f t="shared" si="12"/>
        <v>0.21370268360013112</v>
      </c>
      <c r="I91" s="2">
        <f t="shared" si="13"/>
        <v>4.1593826701662913</v>
      </c>
      <c r="J91" s="2">
        <f t="shared" si="14"/>
        <v>23.552199999999999</v>
      </c>
    </row>
    <row r="92" spans="1:10">
      <c r="A92" s="1">
        <v>1998</v>
      </c>
      <c r="B92" s="3">
        <v>23.7242</v>
      </c>
      <c r="C92" s="2">
        <f t="shared" si="15"/>
        <v>87</v>
      </c>
      <c r="D92" s="2">
        <f t="shared" si="8"/>
        <v>0.2074954296160878</v>
      </c>
      <c r="E92" s="2">
        <f t="shared" si="9"/>
        <v>0.23255700620138473</v>
      </c>
      <c r="F92" s="2">
        <f t="shared" si="10"/>
        <v>4.3000209554385194</v>
      </c>
      <c r="G92" s="2">
        <f t="shared" si="11"/>
        <v>23.7242</v>
      </c>
      <c r="H92" s="2">
        <f t="shared" si="12"/>
        <v>0.20834223332378965</v>
      </c>
      <c r="I92" s="2">
        <f t="shared" si="13"/>
        <v>4.2803437994130498</v>
      </c>
      <c r="J92" s="2">
        <f t="shared" si="14"/>
        <v>23.7242</v>
      </c>
    </row>
    <row r="93" spans="1:10">
      <c r="A93" s="1">
        <v>1947</v>
      </c>
      <c r="B93" s="3">
        <v>23.777999999999999</v>
      </c>
      <c r="C93" s="2">
        <f t="shared" si="15"/>
        <v>88</v>
      </c>
      <c r="D93" s="2">
        <f t="shared" si="8"/>
        <v>0.19835466179159056</v>
      </c>
      <c r="E93" s="2">
        <f t="shared" si="9"/>
        <v>0.22108899060974355</v>
      </c>
      <c r="F93" s="2">
        <f t="shared" si="10"/>
        <v>4.5230655639708246</v>
      </c>
      <c r="G93" s="2">
        <f t="shared" si="11"/>
        <v>23.777999999999999</v>
      </c>
      <c r="H93" s="2">
        <f t="shared" si="12"/>
        <v>0.20668952142969532</v>
      </c>
      <c r="I93" s="2">
        <f t="shared" si="13"/>
        <v>4.318896803139479</v>
      </c>
      <c r="J93" s="2">
        <f t="shared" si="14"/>
        <v>23.777999999999999</v>
      </c>
    </row>
    <row r="94" spans="1:10">
      <c r="A94" s="1">
        <v>2008</v>
      </c>
      <c r="B94" s="3">
        <v>23.8963</v>
      </c>
      <c r="C94" s="2">
        <f t="shared" si="15"/>
        <v>89</v>
      </c>
      <c r="D94" s="2">
        <f t="shared" si="8"/>
        <v>0.18921389396709321</v>
      </c>
      <c r="E94" s="2">
        <f t="shared" si="9"/>
        <v>0.20975100067234698</v>
      </c>
      <c r="F94" s="2">
        <f t="shared" si="10"/>
        <v>4.7675577079229514</v>
      </c>
      <c r="G94" s="2">
        <f t="shared" si="11"/>
        <v>23.8963</v>
      </c>
      <c r="H94" s="2">
        <f t="shared" si="12"/>
        <v>0.20309524515429467</v>
      </c>
      <c r="I94" s="2">
        <f t="shared" si="13"/>
        <v>4.4048960752878363</v>
      </c>
      <c r="J94" s="2">
        <f t="shared" si="14"/>
        <v>23.8963</v>
      </c>
    </row>
    <row r="95" spans="1:10">
      <c r="A95" s="1">
        <v>1992</v>
      </c>
      <c r="B95" s="3">
        <v>24.049700000000001</v>
      </c>
      <c r="C95" s="2">
        <f t="shared" si="15"/>
        <v>90</v>
      </c>
      <c r="D95" s="2">
        <f t="shared" si="8"/>
        <v>0.18007312614259596</v>
      </c>
      <c r="E95" s="2">
        <f t="shared" si="9"/>
        <v>0.19854012092313039</v>
      </c>
      <c r="F95" s="2">
        <f t="shared" si="10"/>
        <v>5.0367653416871558</v>
      </c>
      <c r="G95" s="2">
        <f t="shared" si="11"/>
        <v>24.049700000000001</v>
      </c>
      <c r="H95" s="2">
        <f t="shared" si="12"/>
        <v>0.19851540910086796</v>
      </c>
      <c r="I95" s="2">
        <f t="shared" si="13"/>
        <v>4.5189665726476704</v>
      </c>
      <c r="J95" s="2">
        <f t="shared" si="14"/>
        <v>24.049700000000001</v>
      </c>
    </row>
    <row r="96" spans="1:10">
      <c r="A96" s="1">
        <v>1973</v>
      </c>
      <c r="B96" s="3">
        <v>24.270900000000001</v>
      </c>
      <c r="C96" s="2">
        <f t="shared" si="15"/>
        <v>91</v>
      </c>
      <c r="D96" s="2">
        <f t="shared" si="8"/>
        <v>0.17093235831809872</v>
      </c>
      <c r="E96" s="2">
        <f t="shared" si="9"/>
        <v>0.18745353286678992</v>
      </c>
      <c r="F96" s="2">
        <f t="shared" si="10"/>
        <v>5.3346553927614151</v>
      </c>
      <c r="G96" s="2">
        <f t="shared" si="11"/>
        <v>24.270900000000001</v>
      </c>
      <c r="H96" s="2">
        <f t="shared" si="12"/>
        <v>0.1920700153220285</v>
      </c>
      <c r="I96" s="2">
        <f t="shared" si="13"/>
        <v>4.6886748755083856</v>
      </c>
      <c r="J96" s="2">
        <f t="shared" si="14"/>
        <v>24.270900000000001</v>
      </c>
    </row>
    <row r="97" spans="1:10">
      <c r="A97" s="1">
        <v>1962</v>
      </c>
      <c r="B97" s="3">
        <v>24.274000000000001</v>
      </c>
      <c r="C97" s="2">
        <f t="shared" si="15"/>
        <v>92</v>
      </c>
      <c r="D97" s="2">
        <f t="shared" si="8"/>
        <v>0.16179159049360148</v>
      </c>
      <c r="E97" s="2">
        <f t="shared" si="9"/>
        <v>0.17648851072546168</v>
      </c>
      <c r="F97" s="2">
        <f t="shared" si="10"/>
        <v>5.6660912140369248</v>
      </c>
      <c r="G97" s="2">
        <f t="shared" si="11"/>
        <v>24.274000000000001</v>
      </c>
      <c r="H97" s="2">
        <f t="shared" si="12"/>
        <v>0.19198100389048722</v>
      </c>
      <c r="I97" s="2">
        <f t="shared" si="13"/>
        <v>4.6910979834430426</v>
      </c>
      <c r="J97" s="2">
        <f t="shared" si="14"/>
        <v>24.274000000000001</v>
      </c>
    </row>
    <row r="98" spans="1:10">
      <c r="A98" s="1">
        <v>1966</v>
      </c>
      <c r="B98" s="3">
        <v>24.904699999999998</v>
      </c>
      <c r="C98" s="2">
        <f t="shared" si="15"/>
        <v>93</v>
      </c>
      <c r="D98" s="2">
        <f t="shared" si="8"/>
        <v>0.15265082266910424</v>
      </c>
      <c r="E98" s="2">
        <f t="shared" si="9"/>
        <v>0.16564241741607139</v>
      </c>
      <c r="F98" s="2">
        <f t="shared" si="10"/>
        <v>6.0371009769081976</v>
      </c>
      <c r="G98" s="2">
        <f t="shared" si="11"/>
        <v>24.904699999999998</v>
      </c>
      <c r="H98" s="2">
        <f t="shared" si="12"/>
        <v>0.17461020746769307</v>
      </c>
      <c r="I98" s="2">
        <f t="shared" si="13"/>
        <v>5.2110602259920258</v>
      </c>
      <c r="J98" s="2">
        <f t="shared" si="14"/>
        <v>24.904699999999998</v>
      </c>
    </row>
    <row r="99" spans="1:10">
      <c r="A99" s="1">
        <v>1930</v>
      </c>
      <c r="B99" s="3">
        <v>25.273199999999999</v>
      </c>
      <c r="C99" s="2">
        <f t="shared" si="15"/>
        <v>94</v>
      </c>
      <c r="D99" s="2">
        <f t="shared" si="8"/>
        <v>0.14351005484460699</v>
      </c>
      <c r="E99" s="2">
        <f t="shared" si="9"/>
        <v>0.15491270074350438</v>
      </c>
      <c r="F99" s="2">
        <f t="shared" si="10"/>
        <v>6.4552486348794798</v>
      </c>
      <c r="G99" s="2">
        <f t="shared" si="11"/>
        <v>25.273199999999999</v>
      </c>
      <c r="H99" s="2">
        <f t="shared" si="12"/>
        <v>0.16512087513245322</v>
      </c>
      <c r="I99" s="2">
        <f t="shared" si="13"/>
        <v>5.5411385827790154</v>
      </c>
      <c r="J99" s="2">
        <f t="shared" si="14"/>
        <v>25.273199999999999</v>
      </c>
    </row>
    <row r="100" spans="1:10">
      <c r="A100" s="1">
        <v>1910</v>
      </c>
      <c r="B100" s="3">
        <v>25.907800000000002</v>
      </c>
      <c r="C100" s="2">
        <f t="shared" si="15"/>
        <v>95</v>
      </c>
      <c r="D100" s="2">
        <f t="shared" si="8"/>
        <v>0.13436928702010975</v>
      </c>
      <c r="E100" s="2">
        <f t="shared" si="9"/>
        <v>0.14429688979584834</v>
      </c>
      <c r="F100" s="2">
        <f t="shared" si="10"/>
        <v>6.9301563007685258</v>
      </c>
      <c r="G100" s="2">
        <f t="shared" si="11"/>
        <v>25.907800000000002</v>
      </c>
      <c r="H100" s="2">
        <f t="shared" si="12"/>
        <v>0.14986110627501237</v>
      </c>
      <c r="I100" s="2">
        <f t="shared" si="13"/>
        <v>6.1593217543286265</v>
      </c>
      <c r="J100" s="2">
        <f t="shared" si="14"/>
        <v>25.907800000000002</v>
      </c>
    </row>
    <row r="101" spans="1:10">
      <c r="A101" s="1">
        <v>1974</v>
      </c>
      <c r="B101" s="3">
        <v>26.761199999999999</v>
      </c>
      <c r="C101" s="2">
        <f t="shared" si="15"/>
        <v>96</v>
      </c>
      <c r="D101" s="2">
        <f t="shared" si="8"/>
        <v>0.1252285191956124</v>
      </c>
      <c r="E101" s="2">
        <f t="shared" si="9"/>
        <v>0.13379259152897222</v>
      </c>
      <c r="F101" s="2">
        <f t="shared" si="10"/>
        <v>7.4742554021270617</v>
      </c>
      <c r="G101" s="2">
        <f t="shared" si="11"/>
        <v>26.761199999999999</v>
      </c>
      <c r="H101" s="2">
        <f t="shared" si="12"/>
        <v>0.13136325151221862</v>
      </c>
      <c r="I101" s="2">
        <f t="shared" si="13"/>
        <v>7.1007470725656709</v>
      </c>
      <c r="J101" s="2">
        <f t="shared" si="14"/>
        <v>26.761199999999999</v>
      </c>
    </row>
    <row r="102" spans="1:10">
      <c r="A102" s="1">
        <v>2014</v>
      </c>
      <c r="B102" s="3">
        <v>26.962</v>
      </c>
      <c r="C102" s="2">
        <f t="shared" si="15"/>
        <v>97</v>
      </c>
      <c r="D102" s="2">
        <f t="shared" si="8"/>
        <v>0.11608775137111516</v>
      </c>
      <c r="E102" s="2">
        <f t="shared" si="9"/>
        <v>0.12339748752863217</v>
      </c>
      <c r="F102" s="2">
        <f t="shared" si="10"/>
        <v>8.103892713115151</v>
      </c>
      <c r="G102" s="2">
        <f t="shared" si="11"/>
        <v>26.962</v>
      </c>
      <c r="H102" s="2">
        <f t="shared" si="12"/>
        <v>0.12732766576390919</v>
      </c>
      <c r="I102" s="2">
        <f t="shared" si="13"/>
        <v>7.3424066229082454</v>
      </c>
      <c r="J102" s="2">
        <f t="shared" si="14"/>
        <v>26.962</v>
      </c>
    </row>
    <row r="103" spans="1:10">
      <c r="A103" s="1">
        <v>1945</v>
      </c>
      <c r="B103" s="3">
        <v>27.742599999999999</v>
      </c>
      <c r="C103" s="2">
        <f t="shared" si="15"/>
        <v>98</v>
      </c>
      <c r="D103" s="2">
        <f t="shared" si="8"/>
        <v>0.10694698354661791</v>
      </c>
      <c r="E103" s="2">
        <f t="shared" si="9"/>
        <v>0.11310933093914377</v>
      </c>
      <c r="F103" s="2">
        <f t="shared" si="10"/>
        <v>8.8410035820831627</v>
      </c>
      <c r="G103" s="2">
        <f t="shared" si="11"/>
        <v>27.742599999999999</v>
      </c>
      <c r="H103" s="2">
        <f t="shared" si="12"/>
        <v>0.11270729771036325</v>
      </c>
      <c r="I103" s="2">
        <f t="shared" si="13"/>
        <v>8.3625772799951008</v>
      </c>
      <c r="J103" s="2">
        <f t="shared" si="14"/>
        <v>27.742599999999999</v>
      </c>
    </row>
    <row r="104" spans="1:10">
      <c r="A104" s="1">
        <v>2011</v>
      </c>
      <c r="B104" s="3">
        <v>28.072099999999999</v>
      </c>
      <c r="C104" s="2">
        <f t="shared" si="15"/>
        <v>99</v>
      </c>
      <c r="D104" s="2">
        <f t="shared" si="8"/>
        <v>9.7806215722120671E-2</v>
      </c>
      <c r="E104" s="2">
        <f t="shared" si="9"/>
        <v>0.10292594354844495</v>
      </c>
      <c r="F104" s="2">
        <f t="shared" si="10"/>
        <v>9.7157234174814473</v>
      </c>
      <c r="G104" s="2">
        <f t="shared" si="11"/>
        <v>28.072099999999999</v>
      </c>
      <c r="H104" s="2">
        <f t="shared" si="12"/>
        <v>0.10701943912875123</v>
      </c>
      <c r="I104" s="2">
        <f t="shared" si="13"/>
        <v>8.834666286810009</v>
      </c>
      <c r="J104" s="2">
        <f t="shared" si="14"/>
        <v>28.072099999999999</v>
      </c>
    </row>
    <row r="105" spans="1:10">
      <c r="A105" s="1">
        <v>1917</v>
      </c>
      <c r="B105" s="3">
        <v>29.287600000000001</v>
      </c>
      <c r="C105" s="2">
        <f t="shared" si="15"/>
        <v>100</v>
      </c>
      <c r="D105" s="2">
        <f t="shared" si="8"/>
        <v>8.8665447897623428E-2</v>
      </c>
      <c r="E105" s="2">
        <f t="shared" si="9"/>
        <v>9.2845213020088219E-2</v>
      </c>
      <c r="F105" s="2">
        <f t="shared" si="10"/>
        <v>10.770614525744451</v>
      </c>
      <c r="G105" s="2">
        <f t="shared" si="11"/>
        <v>29.287600000000001</v>
      </c>
      <c r="H105" s="2">
        <f t="shared" si="12"/>
        <v>8.8290090316298864E-2</v>
      </c>
      <c r="I105" s="2">
        <f t="shared" si="13"/>
        <v>10.818597745819716</v>
      </c>
      <c r="J105" s="2">
        <f t="shared" si="14"/>
        <v>29.287600000000001</v>
      </c>
    </row>
    <row r="106" spans="1:10">
      <c r="A106" s="1">
        <v>1979</v>
      </c>
      <c r="B106" s="3">
        <v>29.369599999999998</v>
      </c>
      <c r="C106" s="2">
        <f t="shared" si="15"/>
        <v>101</v>
      </c>
      <c r="D106" s="2">
        <f t="shared" si="8"/>
        <v>7.9524680073126186E-2</v>
      </c>
      <c r="E106" s="2">
        <f t="shared" si="9"/>
        <v>8.2865090263364263E-2</v>
      </c>
      <c r="F106" s="2">
        <f t="shared" si="10"/>
        <v>12.067808009642789</v>
      </c>
      <c r="G106" s="2">
        <f t="shared" si="11"/>
        <v>29.369599999999998</v>
      </c>
      <c r="H106" s="2">
        <f t="shared" si="12"/>
        <v>8.7145483098565069E-2</v>
      </c>
      <c r="I106" s="2">
        <f t="shared" si="13"/>
        <v>10.967466870249702</v>
      </c>
      <c r="J106" s="2">
        <f t="shared" si="14"/>
        <v>29.369599999999998</v>
      </c>
    </row>
    <row r="107" spans="1:10">
      <c r="A107" s="1">
        <v>1995</v>
      </c>
      <c r="B107" s="3">
        <v>29.6554</v>
      </c>
      <c r="C107" s="2">
        <f t="shared" si="15"/>
        <v>102</v>
      </c>
      <c r="D107" s="2">
        <f t="shared" si="8"/>
        <v>7.0383912248628944E-2</v>
      </c>
      <c r="E107" s="2">
        <f t="shared" si="9"/>
        <v>7.2983586933366623E-2</v>
      </c>
      <c r="F107" s="2">
        <f t="shared" si="10"/>
        <v>13.70171078208298</v>
      </c>
      <c r="G107" s="2">
        <f t="shared" si="11"/>
        <v>29.6554</v>
      </c>
      <c r="H107" s="2">
        <f t="shared" si="12"/>
        <v>8.3265541926934028E-2</v>
      </c>
      <c r="I107" s="2">
        <f t="shared" si="13"/>
        <v>11.502526037309087</v>
      </c>
      <c r="J107" s="2">
        <f t="shared" si="14"/>
        <v>29.6554</v>
      </c>
    </row>
    <row r="108" spans="1:10">
      <c r="A108" s="1">
        <v>1952</v>
      </c>
      <c r="B108" s="3">
        <v>29.822099999999999</v>
      </c>
      <c r="C108" s="2">
        <f t="shared" si="15"/>
        <v>103</v>
      </c>
      <c r="D108" s="2">
        <f t="shared" si="8"/>
        <v>6.1243144424131701E-2</v>
      </c>
      <c r="E108" s="2">
        <f t="shared" si="9"/>
        <v>6.3198773053368365E-2</v>
      </c>
      <c r="F108" s="2">
        <f t="shared" si="10"/>
        <v>15.823091995085845</v>
      </c>
      <c r="G108" s="2">
        <f t="shared" si="11"/>
        <v>29.822099999999999</v>
      </c>
      <c r="H108" s="2">
        <f t="shared" si="12"/>
        <v>8.1079125116955031E-2</v>
      </c>
      <c r="I108" s="2">
        <f t="shared" si="13"/>
        <v>11.826585432253792</v>
      </c>
      <c r="J108" s="2">
        <f t="shared" si="14"/>
        <v>29.822099999999999</v>
      </c>
    </row>
    <row r="109" spans="1:10">
      <c r="A109" s="1">
        <v>1909</v>
      </c>
      <c r="B109" s="3">
        <v>31.211300000000001</v>
      </c>
      <c r="C109" s="2">
        <f t="shared" si="15"/>
        <v>104</v>
      </c>
      <c r="D109" s="2">
        <f t="shared" si="8"/>
        <v>5.2102376599634348E-2</v>
      </c>
      <c r="E109" s="2">
        <f t="shared" si="9"/>
        <v>5.3508774752399166E-2</v>
      </c>
      <c r="F109" s="2">
        <f t="shared" si="10"/>
        <v>18.688523604348894</v>
      </c>
      <c r="G109" s="2">
        <f t="shared" si="11"/>
        <v>31.211300000000001</v>
      </c>
      <c r="H109" s="2">
        <f t="shared" si="12"/>
        <v>6.487873364759722E-2</v>
      </c>
      <c r="I109" s="2">
        <f t="shared" si="13"/>
        <v>14.907781624986338</v>
      </c>
      <c r="J109" s="2">
        <f t="shared" si="14"/>
        <v>31.211300000000001</v>
      </c>
    </row>
    <row r="110" spans="1:10">
      <c r="A110" s="1">
        <v>2005</v>
      </c>
      <c r="B110" s="3">
        <v>31.617899999999999</v>
      </c>
      <c r="C110" s="2">
        <f t="shared" si="15"/>
        <v>105</v>
      </c>
      <c r="D110" s="2">
        <f t="shared" si="8"/>
        <v>4.2961608775137106E-2</v>
      </c>
      <c r="E110" s="2">
        <f t="shared" si="9"/>
        <v>4.3911772111389656E-2</v>
      </c>
      <c r="F110" s="2">
        <f t="shared" si="10"/>
        <v>22.772936547933671</v>
      </c>
      <c r="G110" s="2">
        <f t="shared" si="11"/>
        <v>31.617899999999999</v>
      </c>
      <c r="H110" s="2">
        <f t="shared" si="12"/>
        <v>6.0759717199413088E-2</v>
      </c>
      <c r="I110" s="2">
        <f t="shared" si="13"/>
        <v>15.953049465242907</v>
      </c>
      <c r="J110" s="2">
        <f t="shared" si="14"/>
        <v>31.617899999999999</v>
      </c>
    </row>
    <row r="111" spans="1:10">
      <c r="A111" s="1">
        <v>1994</v>
      </c>
      <c r="B111" s="3">
        <v>32.237299999999998</v>
      </c>
      <c r="C111" s="2">
        <f t="shared" si="15"/>
        <v>106</v>
      </c>
      <c r="D111" s="2">
        <f t="shared" si="8"/>
        <v>3.3820840950639863E-2</v>
      </c>
      <c r="E111" s="2">
        <f t="shared" si="9"/>
        <v>3.4405997111688888E-2</v>
      </c>
      <c r="F111" s="2">
        <f t="shared" si="10"/>
        <v>29.064700457707879</v>
      </c>
      <c r="G111" s="2">
        <f t="shared" si="11"/>
        <v>32.237299999999998</v>
      </c>
      <c r="H111" s="2">
        <f t="shared" si="12"/>
        <v>5.4967235002976511E-2</v>
      </c>
      <c r="I111" s="2">
        <f t="shared" si="13"/>
        <v>17.687944986482133</v>
      </c>
      <c r="J111" s="2">
        <f t="shared" si="14"/>
        <v>32.237299999999998</v>
      </c>
    </row>
    <row r="112" spans="1:10">
      <c r="A112" s="1">
        <v>1961</v>
      </c>
      <c r="B112" s="3">
        <v>35.4069</v>
      </c>
      <c r="C112" s="2">
        <f t="shared" si="15"/>
        <v>107</v>
      </c>
      <c r="D112" s="2">
        <f t="shared" si="8"/>
        <v>2.4680073126142621E-2</v>
      </c>
      <c r="E112" s="2">
        <f t="shared" si="9"/>
        <v>2.4989731680173176E-2</v>
      </c>
      <c r="F112" s="2">
        <f t="shared" si="10"/>
        <v>40.016436062552799</v>
      </c>
      <c r="G112" s="2">
        <f t="shared" si="11"/>
        <v>35.4069</v>
      </c>
      <c r="H112" s="2">
        <f t="shared" si="12"/>
        <v>3.2785427163195435E-2</v>
      </c>
      <c r="I112" s="2">
        <f t="shared" si="13"/>
        <v>29.998578583810133</v>
      </c>
      <c r="J112" s="2">
        <f t="shared" si="14"/>
        <v>35.4069</v>
      </c>
    </row>
    <row r="113" spans="1:10">
      <c r="A113" s="1">
        <v>1997</v>
      </c>
      <c r="B113" s="3">
        <v>35.770800000000001</v>
      </c>
      <c r="C113" s="2">
        <f t="shared" si="15"/>
        <v>108</v>
      </c>
      <c r="D113" s="2">
        <f t="shared" si="8"/>
        <v>1.5539305301645379E-2</v>
      </c>
      <c r="E113" s="2">
        <f t="shared" si="9"/>
        <v>1.5661305825537992E-2</v>
      </c>
      <c r="F113" s="2">
        <f t="shared" si="10"/>
        <v>63.8516360729868</v>
      </c>
      <c r="G113" s="2">
        <f t="shared" si="11"/>
        <v>35.770800000000001</v>
      </c>
      <c r="H113" s="2">
        <f t="shared" si="12"/>
        <v>3.0886205820403023E-2</v>
      </c>
      <c r="I113" s="2">
        <f t="shared" si="13"/>
        <v>31.874298646836056</v>
      </c>
      <c r="J113" s="2">
        <f t="shared" si="14"/>
        <v>35.770800000000001</v>
      </c>
    </row>
    <row r="114" spans="1:10">
      <c r="A114" s="1">
        <v>1953</v>
      </c>
      <c r="B114" s="3">
        <v>48.921900000000001</v>
      </c>
      <c r="C114" s="2">
        <f t="shared" si="15"/>
        <v>109</v>
      </c>
      <c r="D114" s="2">
        <f t="shared" si="8"/>
        <v>6.3985374771481363E-3</v>
      </c>
      <c r="E114" s="2">
        <f t="shared" si="9"/>
        <v>6.4190958607171283E-3</v>
      </c>
      <c r="F114" s="2">
        <f t="shared" si="10"/>
        <v>155.78517936142521</v>
      </c>
      <c r="G114" s="2">
        <f t="shared" si="11"/>
        <v>48.921900000000001</v>
      </c>
      <c r="H114" s="2">
        <f t="shared" si="12"/>
        <v>3.4985669442505474E-3</v>
      </c>
      <c r="I114" s="2">
        <f t="shared" si="13"/>
        <v>285.33102571685481</v>
      </c>
      <c r="J114" s="2">
        <f t="shared" si="14"/>
        <v>48.921900000000001</v>
      </c>
    </row>
  </sheetData>
  <sortState ref="A2:B110">
    <sortCondition ref="B2:B110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Leesmij</vt:lpstr>
      <vt:lpstr>Resultaat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Hydroconsult</dc:creator>
  <cp:lastModifiedBy>Siebe Bosch</cp:lastModifiedBy>
  <dcterms:created xsi:type="dcterms:W3CDTF">2015-09-27T23:22:30Z</dcterms:created>
  <dcterms:modified xsi:type="dcterms:W3CDTF">2015-12-15T22:20:35Z</dcterms:modified>
</cp:coreProperties>
</file>
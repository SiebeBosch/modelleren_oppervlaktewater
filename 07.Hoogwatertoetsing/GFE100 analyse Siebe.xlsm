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Dropbox\Anouk.Siebe\07.Hoogwatertoetsing\"/>
    </mc:Choice>
  </mc:AlternateContent>
  <bookViews>
    <workbookView xWindow="0" yWindow="0" windowWidth="23040" windowHeight="9660" activeTab="1"/>
  </bookViews>
  <sheets>
    <sheet name="Chart1" sheetId="2" r:id="rId1"/>
    <sheet name="GFE100" sheetId="1" r:id="rId2"/>
  </sheets>
  <calcPr calcId="162913"/>
</workbook>
</file>

<file path=xl/calcChain.xml><?xml version="1.0" encoding="utf-8"?>
<calcChain xmlns="http://schemas.openxmlformats.org/spreadsheetml/2006/main"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2" i="1"/>
</calcChain>
</file>

<file path=xl/sharedStrings.xml><?xml version="1.0" encoding="utf-8"?>
<sst xmlns="http://schemas.openxmlformats.org/spreadsheetml/2006/main" count="239" uniqueCount="95">
  <si>
    <t>RUNID</t>
  </si>
  <si>
    <t>MAXVAL</t>
  </si>
  <si>
    <t>KLIMAATSCENARIO</t>
  </si>
  <si>
    <t>DUUR</t>
  </si>
  <si>
    <t>RELATIVEDIR</t>
  </si>
  <si>
    <t>SEIZOEN</t>
  </si>
  <si>
    <t>SEIZOEN_P</t>
  </si>
  <si>
    <t>VOLUME</t>
  </si>
  <si>
    <t>VOLUME_P</t>
  </si>
  <si>
    <t>PATROON</t>
  </si>
  <si>
    <t>PATROON_P</t>
  </si>
  <si>
    <t>GW</t>
  </si>
  <si>
    <t>GW_P</t>
  </si>
  <si>
    <t>BOUNDARY</t>
  </si>
  <si>
    <t>BOUNDARY_P</t>
  </si>
  <si>
    <t>WIND</t>
  </si>
  <si>
    <t>WIND_P</t>
  </si>
  <si>
    <t>EXTRA1</t>
  </si>
  <si>
    <t>EXTRA1_P</t>
  </si>
  <si>
    <t>EXTRA2</t>
  </si>
  <si>
    <t>EXTRA2_P</t>
  </si>
  <si>
    <t>EXTRA3</t>
  </si>
  <si>
    <t>EXTRA3_P</t>
  </si>
  <si>
    <t>EXTRA4</t>
  </si>
  <si>
    <t>EXTRA4_P</t>
  </si>
  <si>
    <t>P</t>
  </si>
  <si>
    <t>winter_middelnat_LAAG_25mm</t>
  </si>
  <si>
    <t>HUIDIG</t>
  </si>
  <si>
    <t>winter_96h\grondwater_middelnat\LAAG\25mm</t>
  </si>
  <si>
    <t>winter</t>
  </si>
  <si>
    <t>LAAG</t>
  </si>
  <si>
    <t>middelnat</t>
  </si>
  <si>
    <t>winter_middelnat_LANG_25mm</t>
  </si>
  <si>
    <t>winter_96h\grondwater_middelnat\LANG\25mm</t>
  </si>
  <si>
    <t>LANG</t>
  </si>
  <si>
    <t>zomer_middelnat_LAAG_25mm</t>
  </si>
  <si>
    <t>zomer_96h\grondwater_middelnat\LAAG\25mm</t>
  </si>
  <si>
    <t>zomer</t>
  </si>
  <si>
    <t>zomer_middelnat_LANG_25mm</t>
  </si>
  <si>
    <t>zomer_96h\grondwater_middelnat\LANG\25mm</t>
  </si>
  <si>
    <t>winter_middelnat_MIDDELHOOG_25mm</t>
  </si>
  <si>
    <t>winter_96h\grondwater_middelnat\MIDDELHOOG\25mm</t>
  </si>
  <si>
    <t>MIDDELHOOG</t>
  </si>
  <si>
    <t>zomer_middelnat_MIDDELHOOG_25mm</t>
  </si>
  <si>
    <t>zomer_96h\grondwater_middelnat\MIDDELHOOG\25mm</t>
  </si>
  <si>
    <t>zomer_middelnat_LANG_40mm</t>
  </si>
  <si>
    <t>zomer_96h\grondwater_middelnat\LANG\40mm</t>
  </si>
  <si>
    <t>zomer_middelnat_MIDDELHOOG_40mm</t>
  </si>
  <si>
    <t>zomer_96h\grondwater_middelnat\MIDDELHOOG\40mm</t>
  </si>
  <si>
    <t>winter_middelnat_LAAG_45mm</t>
  </si>
  <si>
    <t>winter_96h\grondwater_middelnat\LAAG\45mm</t>
  </si>
  <si>
    <t>zomer_middelnat_LAAG_40mm</t>
  </si>
  <si>
    <t>zomer_96h\grondwater_middelnat\LAAG\40mm</t>
  </si>
  <si>
    <t>winter_middelnat_LANG_45mm</t>
  </si>
  <si>
    <t>winter_96h\grondwater_middelnat\LANG\45mm</t>
  </si>
  <si>
    <t>zomer_middelnat_LAAG_55mm</t>
  </si>
  <si>
    <t>zomer_96h\grondwater_middelnat\LAAG\55mm</t>
  </si>
  <si>
    <t>winter_middelnat_MIDDELHOOG_45mm</t>
  </si>
  <si>
    <t>winter_96h\grondwater_middelnat\MIDDELHOOG\45mm</t>
  </si>
  <si>
    <t>zomer_middelnat_LANG_55mm</t>
  </si>
  <si>
    <t>zomer_96h\grondwater_middelnat\LANG\55mm</t>
  </si>
  <si>
    <t>winter_middelnat_LANG_60mm</t>
  </si>
  <si>
    <t>winter_96h\grondwater_middelnat\LANG\60mm</t>
  </si>
  <si>
    <t>winter_middelnat_LAAG_60mm</t>
  </si>
  <si>
    <t>winter_96h\grondwater_middelnat\LAAG\60mm</t>
  </si>
  <si>
    <t>zomer_middelnat_LANG_70mm</t>
  </si>
  <si>
    <t>zomer_96h\grondwater_middelnat\LANG\70mm</t>
  </si>
  <si>
    <t>zomer_middelnat_MIDDELHOOG_55mm</t>
  </si>
  <si>
    <t>zomer_96h\grondwater_middelnat\MIDDELHOOG\55mm</t>
  </si>
  <si>
    <t>winter_middelnat_LANG_75mm</t>
  </si>
  <si>
    <t>winter_96h\grondwater_middelnat\LANG\75mm</t>
  </si>
  <si>
    <t>winter_middelnat_MIDDELHOOG_60mm</t>
  </si>
  <si>
    <t>winter_96h\grondwater_middelnat\MIDDELHOOG\60mm</t>
  </si>
  <si>
    <t>zomer_middelnat_LAAG_70mm</t>
  </si>
  <si>
    <t>zomer_96h\grondwater_middelnat\LAAG\70mm</t>
  </si>
  <si>
    <t>zomer_middelnat_LANG_85mm</t>
  </si>
  <si>
    <t>zomer_96h\grondwater_middelnat\LANG\85mm</t>
  </si>
  <si>
    <t>winter_middelnat_LAAG_75mm</t>
  </si>
  <si>
    <t>winter_96h\grondwater_middelnat\LAAG\75mm</t>
  </si>
  <si>
    <t>zomer_middelnat_MIDDELHOOG_70mm</t>
  </si>
  <si>
    <t>zomer_96h\grondwater_middelnat\MIDDELHOOG\70mm</t>
  </si>
  <si>
    <t>winter_middelnat_MIDDELHOOG_75mm</t>
  </si>
  <si>
    <t>winter_96h\grondwater_middelnat\MIDDELHOOG\75mm</t>
  </si>
  <si>
    <t>zomer_middelnat_LAAG_85mm</t>
  </si>
  <si>
    <t>zomer_96h\grondwater_middelnat\LAAG\85mm</t>
  </si>
  <si>
    <t>zomer_middelnat_LANG_100mm</t>
  </si>
  <si>
    <t>zomer_96h\grondwater_middelnat\LANG\100mm</t>
  </si>
  <si>
    <t>zomer_middelnat_MIDDELHOOG_85mm</t>
  </si>
  <si>
    <t>zomer_96h\grondwater_middelnat\MIDDELHOOG\85mm</t>
  </si>
  <si>
    <t>zomer_middelnat_LAAG_100mm</t>
  </si>
  <si>
    <t>zomer_96h\grondwater_middelnat\LAAG\100mm</t>
  </si>
  <si>
    <t>zomer_middelnat_MIDDELHOOG_100mm</t>
  </si>
  <si>
    <t>zomer_96h\grondwater_middelnat\MIDDELHOOG\100mm</t>
  </si>
  <si>
    <t>T</t>
  </si>
  <si>
    <t>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</si>
</sst>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'GFE100'!$AC$1</c:f>
              <c:strCache>
                <c:ptCount val="1"/>
                <c:pt idx="0">
                  <c:v>Val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'GFE100'!$AB$2:$AB$31</c:f>
              <c:numCache>
                <c:formatCode>General</c:formatCode>
                <c:ptCount val="30"/>
                <c:pt idx="0">
                  <c:v>0</c:v>
                </c:pt>
                <c:pt idx="1">
                  <c:v>0.19046327532330476</c:v>
                </c:pt>
                <c:pt idx="2">
                  <c:v>0.2225956759277902</c:v>
                </c:pt>
                <c:pt idx="3">
                  <c:v>0.22450846105249053</c:v>
                </c:pt>
                <c:pt idx="4">
                  <c:v>0.22712387132611356</c:v>
                </c:pt>
                <c:pt idx="5">
                  <c:v>0.25501620345918508</c:v>
                </c:pt>
                <c:pt idx="6">
                  <c:v>0.25786334698977703</c:v>
                </c:pt>
                <c:pt idx="7">
                  <c:v>0.33859252130299733</c:v>
                </c:pt>
                <c:pt idx="8">
                  <c:v>0.42908071338225223</c:v>
                </c:pt>
                <c:pt idx="9">
                  <c:v>0.51337920978509932</c:v>
                </c:pt>
                <c:pt idx="10">
                  <c:v>0.55505494299776514</c:v>
                </c:pt>
                <c:pt idx="11">
                  <c:v>0.65339060954039274</c:v>
                </c:pt>
                <c:pt idx="12">
                  <c:v>0.77319144350552449</c:v>
                </c:pt>
                <c:pt idx="13">
                  <c:v>0.92644661900785341</c:v>
                </c:pt>
                <c:pt idx="14">
                  <c:v>1.1558366441273187</c:v>
                </c:pt>
                <c:pt idx="15">
                  <c:v>1.2645564211363123</c:v>
                </c:pt>
                <c:pt idx="16">
                  <c:v>1.3708301152367546</c:v>
                </c:pt>
                <c:pt idx="17">
                  <c:v>1.623308268011358</c:v>
                </c:pt>
                <c:pt idx="18">
                  <c:v>2.3750929953662605</c:v>
                </c:pt>
                <c:pt idx="19">
                  <c:v>2.5171824588520102</c:v>
                </c:pt>
                <c:pt idx="20">
                  <c:v>2.9628715870557789</c:v>
                </c:pt>
                <c:pt idx="21">
                  <c:v>3.5561965420713491</c:v>
                </c:pt>
                <c:pt idx="22">
                  <c:v>4.0327304683005361</c:v>
                </c:pt>
                <c:pt idx="23">
                  <c:v>4.3424181032294404</c:v>
                </c:pt>
                <c:pt idx="24">
                  <c:v>7.6381106308488533</c:v>
                </c:pt>
                <c:pt idx="25">
                  <c:v>9.23629132905441</c:v>
                </c:pt>
                <c:pt idx="26">
                  <c:v>11.338822696391977</c:v>
                </c:pt>
                <c:pt idx="27">
                  <c:v>13.945862488266942</c:v>
                </c:pt>
                <c:pt idx="28">
                  <c:v>30.11429311800844</c:v>
                </c:pt>
                <c:pt idx="29">
                  <c:v>45.365985517944232</c:v>
                </c:pt>
              </c:numCache>
            </c:numRef>
          </c:xVal>
          <c:yVal>
            <c:numRef>
              <c:f>'GFE100'!$AC$2:$AC$31</c:f>
              <c:numCache>
                <c:formatCode>General</c:formatCode>
                <c:ptCount val="30"/>
                <c:pt idx="0">
                  <c:v>9.0910177230834996</c:v>
                </c:pt>
                <c:pt idx="1">
                  <c:v>9.0913505554199201</c:v>
                </c:pt>
                <c:pt idx="2">
                  <c:v>9.0919523239135707</c:v>
                </c:pt>
                <c:pt idx="3">
                  <c:v>9.0921754837036097</c:v>
                </c:pt>
                <c:pt idx="4">
                  <c:v>9.1124792098999006</c:v>
                </c:pt>
                <c:pt idx="5">
                  <c:v>9.11358642578125</c:v>
                </c:pt>
                <c:pt idx="6">
                  <c:v>9.1139068603515607</c:v>
                </c:pt>
                <c:pt idx="7">
                  <c:v>9.1139869689941406</c:v>
                </c:pt>
                <c:pt idx="8">
                  <c:v>9.1142253875732404</c:v>
                </c:pt>
                <c:pt idx="9">
                  <c:v>9.1145496368408203</c:v>
                </c:pt>
                <c:pt idx="10">
                  <c:v>9.1154575347900408</c:v>
                </c:pt>
                <c:pt idx="11">
                  <c:v>9.3787794113159197</c:v>
                </c:pt>
                <c:pt idx="12">
                  <c:v>9.48236083984375</c:v>
                </c:pt>
                <c:pt idx="13">
                  <c:v>9.5151205062866193</c:v>
                </c:pt>
                <c:pt idx="14">
                  <c:v>9.7112197875976598</c:v>
                </c:pt>
                <c:pt idx="15">
                  <c:v>9.7245302200317401</c:v>
                </c:pt>
                <c:pt idx="16">
                  <c:v>9.9145116806030291</c:v>
                </c:pt>
                <c:pt idx="17">
                  <c:v>9.9179296493530291</c:v>
                </c:pt>
                <c:pt idx="18">
                  <c:v>9.9824342727661097</c:v>
                </c:pt>
                <c:pt idx="19">
                  <c:v>10.0248517990112</c:v>
                </c:pt>
                <c:pt idx="20">
                  <c:v>10.0264139175415</c:v>
                </c:pt>
                <c:pt idx="21">
                  <c:v>10.0752830505371</c:v>
                </c:pt>
                <c:pt idx="22">
                  <c:v>10.103105545043899</c:v>
                </c:pt>
                <c:pt idx="23">
                  <c:v>10.1500253677368</c:v>
                </c:pt>
                <c:pt idx="24">
                  <c:v>10.193510055541999</c:v>
                </c:pt>
                <c:pt idx="25">
                  <c:v>10.204674720764199</c:v>
                </c:pt>
                <c:pt idx="26">
                  <c:v>10.2072601318359</c:v>
                </c:pt>
                <c:pt idx="27">
                  <c:v>10.259473800659199</c:v>
                </c:pt>
                <c:pt idx="28">
                  <c:v>10.2976064682007</c:v>
                </c:pt>
                <c:pt idx="29">
                  <c:v>10.3344402313232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0C-40ED-B01C-02C7414A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929599"/>
        <c:axId val="642368383"/>
      </c:scatterChart>
      <c:valAx>
        <c:axId val="64292959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68383"/>
        <c:crosses val="autoZero"/>
        <c:crossBetween val="midCat"/>
      </c:valAx>
      <c:valAx>
        <c:axId val="64236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929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642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8E9EB5-E494-4AF8-816B-4B11EC421AA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1"/>
  <sheetViews>
    <sheetView tabSelected="1" topLeftCell="H1" workbookViewId="0">
      <selection activeCell="Y7" sqref="Y7"/>
    </sheetView>
  </sheetViews>
  <sheetFormatPr defaultRowHeight="14.4" x14ac:dyDescent="0.3"/>
  <cols>
    <col min="1" max="1" width="35.6640625" bestFit="1" customWidth="1"/>
    <col min="3" max="3" width="16.88671875" bestFit="1" customWidth="1"/>
    <col min="4" max="4" width="6" bestFit="1" customWidth="1"/>
  </cols>
  <sheetData>
    <row r="1" spans="1:29" x14ac:dyDescent="0.3">
      <c r="A1" t="s">
        <v>0</v>
      </c>
      <c r="B1" t="s">
        <v>1</v>
      </c>
      <c r="C1" t="s">
        <v>2</v>
      </c>
      <c r="D1" t="s">
        <v>3</v>
      </c>
      <c r="E1" t="s">
        <v>0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s="1" t="s">
        <v>93</v>
      </c>
      <c r="AC1" s="1" t="s">
        <v>94</v>
      </c>
    </row>
    <row r="2" spans="1:29" x14ac:dyDescent="0.3">
      <c r="A2" t="s">
        <v>26</v>
      </c>
      <c r="B2">
        <v>9.0910177230834996</v>
      </c>
      <c r="C2" t="s">
        <v>27</v>
      </c>
      <c r="D2">
        <v>96</v>
      </c>
      <c r="E2" t="s">
        <v>26</v>
      </c>
      <c r="F2" t="s">
        <v>28</v>
      </c>
      <c r="G2" t="s">
        <v>29</v>
      </c>
      <c r="H2">
        <v>1</v>
      </c>
      <c r="I2">
        <v>25</v>
      </c>
      <c r="J2">
        <v>1.8766130406361201E-2</v>
      </c>
      <c r="K2" t="s">
        <v>30</v>
      </c>
      <c r="L2">
        <v>0.279527559055118</v>
      </c>
      <c r="M2" t="s">
        <v>31</v>
      </c>
      <c r="N2">
        <v>1</v>
      </c>
      <c r="P2">
        <v>1</v>
      </c>
      <c r="R2">
        <v>1</v>
      </c>
      <c r="T2">
        <v>1</v>
      </c>
      <c r="V2">
        <v>1</v>
      </c>
      <c r="X2">
        <v>1</v>
      </c>
      <c r="Z2">
        <v>1</v>
      </c>
      <c r="AA2">
        <v>5.2456506254001797E-3</v>
      </c>
      <c r="AB2" s="1" t="e">
        <f>1/(-LN(1-SUM(AA2:AA31)))</f>
        <v>#NUM!</v>
      </c>
      <c r="AC2" s="1">
        <f>B2</f>
        <v>9.0910177230834996</v>
      </c>
    </row>
    <row r="3" spans="1:29" x14ac:dyDescent="0.3">
      <c r="A3" t="s">
        <v>32</v>
      </c>
      <c r="B3">
        <v>9.0913505554199201</v>
      </c>
      <c r="C3" t="s">
        <v>27</v>
      </c>
      <c r="D3">
        <v>96</v>
      </c>
      <c r="E3" t="s">
        <v>32</v>
      </c>
      <c r="F3" t="s">
        <v>33</v>
      </c>
      <c r="G3" t="s">
        <v>29</v>
      </c>
      <c r="H3">
        <v>1</v>
      </c>
      <c r="I3">
        <v>25</v>
      </c>
      <c r="J3">
        <v>1.8766130406361201E-2</v>
      </c>
      <c r="K3" t="s">
        <v>34</v>
      </c>
      <c r="L3">
        <v>0.31692913385826799</v>
      </c>
      <c r="M3" t="s">
        <v>31</v>
      </c>
      <c r="N3">
        <v>1</v>
      </c>
      <c r="P3">
        <v>1</v>
      </c>
      <c r="R3">
        <v>1</v>
      </c>
      <c r="T3">
        <v>1</v>
      </c>
      <c r="V3">
        <v>1</v>
      </c>
      <c r="X3">
        <v>1</v>
      </c>
      <c r="Z3">
        <v>1</v>
      </c>
      <c r="AA3">
        <v>5.9475334555593702E-3</v>
      </c>
      <c r="AB3" s="1">
        <f t="shared" ref="AB3:AB31" si="0">1/(-LN(1-SUM(AA3:AA32)))</f>
        <v>0.19046327532330476</v>
      </c>
      <c r="AC3" s="1">
        <f t="shared" ref="AC3:AC31" si="1">B3</f>
        <v>9.0913505554199201</v>
      </c>
    </row>
    <row r="4" spans="1:29" x14ac:dyDescent="0.3">
      <c r="A4" t="s">
        <v>35</v>
      </c>
      <c r="B4">
        <v>9.0919523239135707</v>
      </c>
      <c r="C4" t="s">
        <v>27</v>
      </c>
      <c r="D4">
        <v>96</v>
      </c>
      <c r="E4" t="s">
        <v>35</v>
      </c>
      <c r="F4" t="s">
        <v>36</v>
      </c>
      <c r="G4" t="s">
        <v>37</v>
      </c>
      <c r="H4">
        <v>1</v>
      </c>
      <c r="I4">
        <v>25</v>
      </c>
      <c r="J4">
        <v>1.92556107687491E-3</v>
      </c>
      <c r="K4" t="s">
        <v>30</v>
      </c>
      <c r="L4">
        <v>0.22680412371134101</v>
      </c>
      <c r="M4" t="s">
        <v>31</v>
      </c>
      <c r="N4">
        <v>1</v>
      </c>
      <c r="P4">
        <v>1</v>
      </c>
      <c r="R4">
        <v>1</v>
      </c>
      <c r="T4">
        <v>1</v>
      </c>
      <c r="V4">
        <v>1</v>
      </c>
      <c r="X4">
        <v>1</v>
      </c>
      <c r="Z4">
        <v>1</v>
      </c>
      <c r="AA4">
        <v>4.3672519269328001E-4</v>
      </c>
      <c r="AB4" s="1">
        <f t="shared" si="0"/>
        <v>0.2225956759277902</v>
      </c>
      <c r="AC4" s="1">
        <f t="shared" si="1"/>
        <v>9.0919523239135707</v>
      </c>
    </row>
    <row r="5" spans="1:29" x14ac:dyDescent="0.3">
      <c r="A5" t="s">
        <v>38</v>
      </c>
      <c r="B5">
        <v>9.0921754837036097</v>
      </c>
      <c r="C5" t="s">
        <v>27</v>
      </c>
      <c r="D5">
        <v>96</v>
      </c>
      <c r="E5" t="s">
        <v>38</v>
      </c>
      <c r="F5" t="s">
        <v>39</v>
      </c>
      <c r="G5" t="s">
        <v>37</v>
      </c>
      <c r="H5">
        <v>1</v>
      </c>
      <c r="I5">
        <v>25</v>
      </c>
      <c r="J5">
        <v>1.92556107687491E-3</v>
      </c>
      <c r="K5" t="s">
        <v>34</v>
      </c>
      <c r="L5">
        <v>0.31786941580756001</v>
      </c>
      <c r="M5" t="s">
        <v>31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A5">
        <v>6.12076974608005E-4</v>
      </c>
      <c r="AB5" s="1">
        <f t="shared" si="0"/>
        <v>0.22450846105249053</v>
      </c>
      <c r="AC5" s="1">
        <f t="shared" si="1"/>
        <v>9.0921754837036097</v>
      </c>
    </row>
    <row r="6" spans="1:29" x14ac:dyDescent="0.3">
      <c r="A6" t="s">
        <v>40</v>
      </c>
      <c r="B6">
        <v>9.1124792098999006</v>
      </c>
      <c r="C6" t="s">
        <v>27</v>
      </c>
      <c r="D6">
        <v>96</v>
      </c>
      <c r="E6" t="s">
        <v>40</v>
      </c>
      <c r="F6" t="s">
        <v>41</v>
      </c>
      <c r="G6" t="s">
        <v>29</v>
      </c>
      <c r="H6">
        <v>1</v>
      </c>
      <c r="I6">
        <v>25</v>
      </c>
      <c r="J6">
        <v>1.8766130406361201E-2</v>
      </c>
      <c r="K6" t="s">
        <v>42</v>
      </c>
      <c r="L6">
        <v>0.40354330708661501</v>
      </c>
      <c r="M6" t="s">
        <v>31</v>
      </c>
      <c r="N6">
        <v>1</v>
      </c>
      <c r="P6">
        <v>1</v>
      </c>
      <c r="R6">
        <v>1</v>
      </c>
      <c r="T6">
        <v>1</v>
      </c>
      <c r="V6">
        <v>1</v>
      </c>
      <c r="X6">
        <v>1</v>
      </c>
      <c r="Z6">
        <v>1</v>
      </c>
      <c r="AA6">
        <v>7.5729463254016801E-3</v>
      </c>
      <c r="AB6" s="1">
        <f t="shared" si="0"/>
        <v>0.22712387132611356</v>
      </c>
      <c r="AC6" s="1">
        <f t="shared" si="1"/>
        <v>9.1124792098999006</v>
      </c>
    </row>
    <row r="7" spans="1:29" x14ac:dyDescent="0.3">
      <c r="A7" t="s">
        <v>43</v>
      </c>
      <c r="B7">
        <v>9.11358642578125</v>
      </c>
      <c r="C7" t="s">
        <v>27</v>
      </c>
      <c r="D7">
        <v>96</v>
      </c>
      <c r="E7" t="s">
        <v>43</v>
      </c>
      <c r="F7" t="s">
        <v>44</v>
      </c>
      <c r="G7" t="s">
        <v>37</v>
      </c>
      <c r="H7">
        <v>1</v>
      </c>
      <c r="I7">
        <v>25</v>
      </c>
      <c r="J7">
        <v>1.92556107687491E-3</v>
      </c>
      <c r="K7" t="s">
        <v>42</v>
      </c>
      <c r="L7">
        <v>0.45532646048109998</v>
      </c>
      <c r="M7" t="s">
        <v>31</v>
      </c>
      <c r="N7">
        <v>1</v>
      </c>
      <c r="P7">
        <v>1</v>
      </c>
      <c r="R7">
        <v>1</v>
      </c>
      <c r="T7">
        <v>1</v>
      </c>
      <c r="V7">
        <v>1</v>
      </c>
      <c r="X7">
        <v>1</v>
      </c>
      <c r="Z7">
        <v>1</v>
      </c>
      <c r="AA7">
        <v>8.7675890957362903E-4</v>
      </c>
      <c r="AB7" s="1">
        <f t="shared" si="0"/>
        <v>0.25501620345918508</v>
      </c>
      <c r="AC7" s="1">
        <f t="shared" si="1"/>
        <v>9.11358642578125</v>
      </c>
    </row>
    <row r="8" spans="1:29" x14ac:dyDescent="0.3">
      <c r="A8" t="s">
        <v>45</v>
      </c>
      <c r="B8">
        <v>9.1139068603515607</v>
      </c>
      <c r="C8" t="s">
        <v>27</v>
      </c>
      <c r="D8">
        <v>96</v>
      </c>
      <c r="E8" t="s">
        <v>45</v>
      </c>
      <c r="F8" t="s">
        <v>46</v>
      </c>
      <c r="G8" t="s">
        <v>37</v>
      </c>
      <c r="H8">
        <v>1</v>
      </c>
      <c r="I8">
        <v>40</v>
      </c>
      <c r="J8">
        <v>9.9003645856108893E-2</v>
      </c>
      <c r="K8" t="s">
        <v>34</v>
      </c>
      <c r="L8">
        <v>0.31786941580756001</v>
      </c>
      <c r="M8" t="s">
        <v>31</v>
      </c>
      <c r="N8">
        <v>1</v>
      </c>
      <c r="P8">
        <v>1</v>
      </c>
      <c r="R8">
        <v>1</v>
      </c>
      <c r="T8">
        <v>1</v>
      </c>
      <c r="V8">
        <v>1</v>
      </c>
      <c r="X8">
        <v>1</v>
      </c>
      <c r="Z8">
        <v>1</v>
      </c>
      <c r="AA8">
        <v>3.1470231071099898E-2</v>
      </c>
      <c r="AB8" s="1">
        <f t="shared" si="0"/>
        <v>0.25786334698977703</v>
      </c>
      <c r="AC8" s="1">
        <f t="shared" si="1"/>
        <v>9.1139068603515607</v>
      </c>
    </row>
    <row r="9" spans="1:29" x14ac:dyDescent="0.3">
      <c r="A9" t="s">
        <v>47</v>
      </c>
      <c r="B9">
        <v>9.1139869689941406</v>
      </c>
      <c r="C9" t="s">
        <v>27</v>
      </c>
      <c r="D9">
        <v>96</v>
      </c>
      <c r="E9" t="s">
        <v>47</v>
      </c>
      <c r="F9" t="s">
        <v>48</v>
      </c>
      <c r="G9" t="s">
        <v>37</v>
      </c>
      <c r="H9">
        <v>1</v>
      </c>
      <c r="I9">
        <v>40</v>
      </c>
      <c r="J9">
        <v>9.9003645856108893E-2</v>
      </c>
      <c r="K9" t="s">
        <v>42</v>
      </c>
      <c r="L9">
        <v>0.45532646048109998</v>
      </c>
      <c r="M9" t="s">
        <v>31</v>
      </c>
      <c r="N9">
        <v>1</v>
      </c>
      <c r="P9">
        <v>1</v>
      </c>
      <c r="R9">
        <v>1</v>
      </c>
      <c r="T9">
        <v>1</v>
      </c>
      <c r="V9">
        <v>1</v>
      </c>
      <c r="X9">
        <v>1</v>
      </c>
      <c r="Z9">
        <v>1</v>
      </c>
      <c r="AA9">
        <v>4.5078979642386399E-2</v>
      </c>
      <c r="AB9" s="1">
        <f t="shared" si="0"/>
        <v>0.33859252130299733</v>
      </c>
      <c r="AC9" s="1">
        <f t="shared" si="1"/>
        <v>9.1139869689941406</v>
      </c>
    </row>
    <row r="10" spans="1:29" x14ac:dyDescent="0.3">
      <c r="A10" t="s">
        <v>49</v>
      </c>
      <c r="B10">
        <v>9.1142253875732404</v>
      </c>
      <c r="C10" t="s">
        <v>27</v>
      </c>
      <c r="D10">
        <v>96</v>
      </c>
      <c r="E10" t="s">
        <v>49</v>
      </c>
      <c r="F10" t="s">
        <v>50</v>
      </c>
      <c r="G10" t="s">
        <v>29</v>
      </c>
      <c r="H10">
        <v>1</v>
      </c>
      <c r="I10">
        <v>45</v>
      </c>
      <c r="J10">
        <v>0.162185849105453</v>
      </c>
      <c r="K10" t="s">
        <v>30</v>
      </c>
      <c r="L10">
        <v>0.279527559055118</v>
      </c>
      <c r="M10" t="s">
        <v>31</v>
      </c>
      <c r="N10">
        <v>1</v>
      </c>
      <c r="P10">
        <v>1</v>
      </c>
      <c r="R10">
        <v>1</v>
      </c>
      <c r="T10">
        <v>1</v>
      </c>
      <c r="V10">
        <v>1</v>
      </c>
      <c r="X10">
        <v>1</v>
      </c>
      <c r="Z10">
        <v>1</v>
      </c>
      <c r="AA10">
        <v>4.5335414513728897E-2</v>
      </c>
      <c r="AB10" s="1">
        <f t="shared" si="0"/>
        <v>0.42908071338225223</v>
      </c>
      <c r="AC10" s="1">
        <f t="shared" si="1"/>
        <v>9.1142253875732404</v>
      </c>
    </row>
    <row r="11" spans="1:29" x14ac:dyDescent="0.3">
      <c r="A11" t="s">
        <v>51</v>
      </c>
      <c r="B11">
        <v>9.1145496368408203</v>
      </c>
      <c r="C11" t="s">
        <v>27</v>
      </c>
      <c r="D11">
        <v>96</v>
      </c>
      <c r="E11" t="s">
        <v>51</v>
      </c>
      <c r="F11" t="s">
        <v>52</v>
      </c>
      <c r="G11" t="s">
        <v>37</v>
      </c>
      <c r="H11">
        <v>1</v>
      </c>
      <c r="I11">
        <v>40</v>
      </c>
      <c r="J11">
        <v>9.9003645856108893E-2</v>
      </c>
      <c r="K11" t="s">
        <v>30</v>
      </c>
      <c r="L11">
        <v>0.22680412371134101</v>
      </c>
      <c r="M11" t="s">
        <v>31</v>
      </c>
      <c r="N11">
        <v>1</v>
      </c>
      <c r="P11">
        <v>1</v>
      </c>
      <c r="R11">
        <v>1</v>
      </c>
      <c r="T11">
        <v>1</v>
      </c>
      <c r="V11">
        <v>1</v>
      </c>
      <c r="X11">
        <v>1</v>
      </c>
      <c r="Z11">
        <v>1</v>
      </c>
      <c r="AA11">
        <v>2.24544351426227E-2</v>
      </c>
      <c r="AB11" s="1">
        <f t="shared" si="0"/>
        <v>0.51337920978509932</v>
      </c>
      <c r="AC11" s="1">
        <f t="shared" si="1"/>
        <v>9.1145496368408203</v>
      </c>
    </row>
    <row r="12" spans="1:29" x14ac:dyDescent="0.3">
      <c r="A12" t="s">
        <v>53</v>
      </c>
      <c r="B12">
        <v>9.1154575347900408</v>
      </c>
      <c r="C12" t="s">
        <v>27</v>
      </c>
      <c r="D12">
        <v>96</v>
      </c>
      <c r="E12" t="s">
        <v>53</v>
      </c>
      <c r="F12" t="s">
        <v>54</v>
      </c>
      <c r="G12" t="s">
        <v>29</v>
      </c>
      <c r="H12">
        <v>1</v>
      </c>
      <c r="I12">
        <v>45</v>
      </c>
      <c r="J12">
        <v>0.162185849105453</v>
      </c>
      <c r="K12" t="s">
        <v>34</v>
      </c>
      <c r="L12">
        <v>0.31692913385826799</v>
      </c>
      <c r="M12" t="s">
        <v>31</v>
      </c>
      <c r="N12">
        <v>1</v>
      </c>
      <c r="P12">
        <v>1</v>
      </c>
      <c r="R12">
        <v>1</v>
      </c>
      <c r="T12">
        <v>1</v>
      </c>
      <c r="V12">
        <v>1</v>
      </c>
      <c r="X12">
        <v>1</v>
      </c>
      <c r="Z12">
        <v>1</v>
      </c>
      <c r="AA12">
        <v>5.14014206810589E-2</v>
      </c>
      <c r="AB12" s="1">
        <f t="shared" si="0"/>
        <v>0.55505494299776514</v>
      </c>
      <c r="AC12" s="1">
        <f t="shared" si="1"/>
        <v>9.1154575347900408</v>
      </c>
    </row>
    <row r="13" spans="1:29" x14ac:dyDescent="0.3">
      <c r="A13" t="s">
        <v>55</v>
      </c>
      <c r="B13">
        <v>9.3787794113159197</v>
      </c>
      <c r="C13" t="s">
        <v>27</v>
      </c>
      <c r="D13">
        <v>96</v>
      </c>
      <c r="E13" t="s">
        <v>55</v>
      </c>
      <c r="F13" t="s">
        <v>56</v>
      </c>
      <c r="G13" t="s">
        <v>37</v>
      </c>
      <c r="H13">
        <v>1</v>
      </c>
      <c r="I13">
        <v>55</v>
      </c>
      <c r="J13">
        <v>0.25537690247859601</v>
      </c>
      <c r="K13" t="s">
        <v>30</v>
      </c>
      <c r="L13">
        <v>0.22680412371134101</v>
      </c>
      <c r="M13" t="s">
        <v>31</v>
      </c>
      <c r="N13">
        <v>1</v>
      </c>
      <c r="P13">
        <v>1</v>
      </c>
      <c r="R13">
        <v>1</v>
      </c>
      <c r="T13">
        <v>1</v>
      </c>
      <c r="V13">
        <v>1</v>
      </c>
      <c r="X13">
        <v>1</v>
      </c>
      <c r="Z13">
        <v>1</v>
      </c>
      <c r="AA13">
        <v>5.7920534582774602E-2</v>
      </c>
      <c r="AB13" s="1">
        <f t="shared" si="0"/>
        <v>0.65339060954039274</v>
      </c>
      <c r="AC13" s="1">
        <f t="shared" si="1"/>
        <v>9.3787794113159197</v>
      </c>
    </row>
    <row r="14" spans="1:29" x14ac:dyDescent="0.3">
      <c r="A14" t="s">
        <v>57</v>
      </c>
      <c r="B14">
        <v>9.48236083984375</v>
      </c>
      <c r="C14" t="s">
        <v>27</v>
      </c>
      <c r="D14">
        <v>96</v>
      </c>
      <c r="E14" t="s">
        <v>57</v>
      </c>
      <c r="F14" t="s">
        <v>58</v>
      </c>
      <c r="G14" t="s">
        <v>29</v>
      </c>
      <c r="H14">
        <v>1</v>
      </c>
      <c r="I14">
        <v>45</v>
      </c>
      <c r="J14">
        <v>0.162185849105453</v>
      </c>
      <c r="K14" t="s">
        <v>42</v>
      </c>
      <c r="L14">
        <v>0.40354330708661501</v>
      </c>
      <c r="M14" t="s">
        <v>31</v>
      </c>
      <c r="N14">
        <v>1</v>
      </c>
      <c r="P14">
        <v>1</v>
      </c>
      <c r="R14">
        <v>1</v>
      </c>
      <c r="T14">
        <v>1</v>
      </c>
      <c r="V14">
        <v>1</v>
      </c>
      <c r="X14">
        <v>1</v>
      </c>
      <c r="Z14">
        <v>1</v>
      </c>
      <c r="AA14">
        <v>6.5449013910665002E-2</v>
      </c>
      <c r="AB14" s="1">
        <f t="shared" si="0"/>
        <v>0.77319144350552449</v>
      </c>
      <c r="AC14" s="1">
        <f t="shared" si="1"/>
        <v>9.48236083984375</v>
      </c>
    </row>
    <row r="15" spans="1:29" x14ac:dyDescent="0.3">
      <c r="A15" t="s">
        <v>59</v>
      </c>
      <c r="B15">
        <v>9.5151205062866193</v>
      </c>
      <c r="C15" t="s">
        <v>27</v>
      </c>
      <c r="D15">
        <v>96</v>
      </c>
      <c r="E15" t="s">
        <v>59</v>
      </c>
      <c r="F15" t="s">
        <v>60</v>
      </c>
      <c r="G15" t="s">
        <v>37</v>
      </c>
      <c r="H15">
        <v>1</v>
      </c>
      <c r="I15">
        <v>55</v>
      </c>
      <c r="J15">
        <v>0.25537690247859601</v>
      </c>
      <c r="K15" t="s">
        <v>34</v>
      </c>
      <c r="L15">
        <v>0.31786941580756001</v>
      </c>
      <c r="M15" t="s">
        <v>31</v>
      </c>
      <c r="N15">
        <v>1</v>
      </c>
      <c r="P15">
        <v>1</v>
      </c>
      <c r="R15">
        <v>1</v>
      </c>
      <c r="T15">
        <v>1</v>
      </c>
      <c r="V15">
        <v>1</v>
      </c>
      <c r="X15">
        <v>1</v>
      </c>
      <c r="Z15">
        <v>1</v>
      </c>
      <c r="AA15">
        <v>8.11765068016157E-2</v>
      </c>
      <c r="AB15" s="1">
        <f t="shared" si="0"/>
        <v>0.92644661900785341</v>
      </c>
      <c r="AC15" s="1">
        <f t="shared" si="1"/>
        <v>9.5151205062866193</v>
      </c>
    </row>
    <row r="16" spans="1:29" x14ac:dyDescent="0.3">
      <c r="A16" t="s">
        <v>61</v>
      </c>
      <c r="B16">
        <v>9.7112197875976598</v>
      </c>
      <c r="C16" t="s">
        <v>27</v>
      </c>
      <c r="D16">
        <v>96</v>
      </c>
      <c r="E16" t="s">
        <v>61</v>
      </c>
      <c r="F16" t="s">
        <v>62</v>
      </c>
      <c r="G16" t="s">
        <v>29</v>
      </c>
      <c r="H16">
        <v>1</v>
      </c>
      <c r="I16">
        <v>60</v>
      </c>
      <c r="J16">
        <v>0.10257075218042799</v>
      </c>
      <c r="K16" t="s">
        <v>34</v>
      </c>
      <c r="L16">
        <v>0.31692913385826799</v>
      </c>
      <c r="M16" t="s">
        <v>31</v>
      </c>
      <c r="N16">
        <v>1</v>
      </c>
      <c r="P16">
        <v>1</v>
      </c>
      <c r="R16">
        <v>1</v>
      </c>
      <c r="T16">
        <v>1</v>
      </c>
      <c r="V16">
        <v>1</v>
      </c>
      <c r="X16">
        <v>1</v>
      </c>
      <c r="Z16">
        <v>1</v>
      </c>
      <c r="AA16">
        <v>3.2507659647734E-2</v>
      </c>
      <c r="AB16" s="1">
        <f t="shared" si="0"/>
        <v>1.1558366441273187</v>
      </c>
      <c r="AC16" s="1">
        <f t="shared" si="1"/>
        <v>9.7112197875976598</v>
      </c>
    </row>
    <row r="17" spans="1:29" x14ac:dyDescent="0.3">
      <c r="A17" t="s">
        <v>63</v>
      </c>
      <c r="B17">
        <v>9.7245302200317401</v>
      </c>
      <c r="C17" t="s">
        <v>27</v>
      </c>
      <c r="D17">
        <v>96</v>
      </c>
      <c r="E17" t="s">
        <v>63</v>
      </c>
      <c r="F17" t="s">
        <v>64</v>
      </c>
      <c r="G17" t="s">
        <v>29</v>
      </c>
      <c r="H17">
        <v>1</v>
      </c>
      <c r="I17">
        <v>60</v>
      </c>
      <c r="J17">
        <v>0.10257075218042799</v>
      </c>
      <c r="K17" t="s">
        <v>30</v>
      </c>
      <c r="L17">
        <v>0.279527559055118</v>
      </c>
      <c r="M17" t="s">
        <v>31</v>
      </c>
      <c r="N17">
        <v>1</v>
      </c>
      <c r="P17">
        <v>1</v>
      </c>
      <c r="R17">
        <v>1</v>
      </c>
      <c r="T17">
        <v>1</v>
      </c>
      <c r="V17">
        <v>1</v>
      </c>
      <c r="X17">
        <v>1</v>
      </c>
      <c r="Z17">
        <v>1</v>
      </c>
      <c r="AA17">
        <v>2.86713519874424E-2</v>
      </c>
      <c r="AB17" s="1">
        <f t="shared" si="0"/>
        <v>1.2645564211363123</v>
      </c>
      <c r="AC17" s="1">
        <f t="shared" si="1"/>
        <v>9.7245302200317401</v>
      </c>
    </row>
    <row r="18" spans="1:29" x14ac:dyDescent="0.3">
      <c r="A18" t="s">
        <v>65</v>
      </c>
      <c r="B18">
        <v>9.9145116806030291</v>
      </c>
      <c r="C18" t="s">
        <v>27</v>
      </c>
      <c r="D18">
        <v>96</v>
      </c>
      <c r="E18" t="s">
        <v>65</v>
      </c>
      <c r="F18" t="s">
        <v>66</v>
      </c>
      <c r="G18" t="s">
        <v>37</v>
      </c>
      <c r="H18">
        <v>1</v>
      </c>
      <c r="I18">
        <v>70</v>
      </c>
      <c r="J18">
        <v>0.18224237011401201</v>
      </c>
      <c r="K18" t="s">
        <v>34</v>
      </c>
      <c r="L18">
        <v>0.31786941580756001</v>
      </c>
      <c r="M18" t="s">
        <v>31</v>
      </c>
      <c r="N18">
        <v>1</v>
      </c>
      <c r="P18">
        <v>1</v>
      </c>
      <c r="R18">
        <v>1</v>
      </c>
      <c r="T18">
        <v>1</v>
      </c>
      <c r="V18">
        <v>1</v>
      </c>
      <c r="X18">
        <v>1</v>
      </c>
      <c r="Z18">
        <v>1</v>
      </c>
      <c r="AA18">
        <v>5.7929275723525998E-2</v>
      </c>
      <c r="AB18" s="1">
        <f t="shared" si="0"/>
        <v>1.3708301152367546</v>
      </c>
      <c r="AC18" s="1">
        <f t="shared" si="1"/>
        <v>9.9145116806030291</v>
      </c>
    </row>
    <row r="19" spans="1:29" x14ac:dyDescent="0.3">
      <c r="A19" t="s">
        <v>67</v>
      </c>
      <c r="B19">
        <v>9.9179296493530291</v>
      </c>
      <c r="C19" t="s">
        <v>27</v>
      </c>
      <c r="D19">
        <v>96</v>
      </c>
      <c r="E19" t="s">
        <v>67</v>
      </c>
      <c r="F19" t="s">
        <v>68</v>
      </c>
      <c r="G19" t="s">
        <v>37</v>
      </c>
      <c r="H19">
        <v>1</v>
      </c>
      <c r="I19">
        <v>55</v>
      </c>
      <c r="J19">
        <v>0.25537690247859601</v>
      </c>
      <c r="K19" t="s">
        <v>42</v>
      </c>
      <c r="L19">
        <v>0.45532646048109998</v>
      </c>
      <c r="M19" t="s">
        <v>31</v>
      </c>
      <c r="N19">
        <v>1</v>
      </c>
      <c r="P19">
        <v>1</v>
      </c>
      <c r="R19">
        <v>1</v>
      </c>
      <c r="T19">
        <v>1</v>
      </c>
      <c r="V19">
        <v>1</v>
      </c>
      <c r="X19">
        <v>1</v>
      </c>
      <c r="Z19">
        <v>1</v>
      </c>
      <c r="AA19">
        <v>0.116279861094206</v>
      </c>
      <c r="AB19" s="1">
        <f t="shared" si="0"/>
        <v>1.623308268011358</v>
      </c>
      <c r="AC19" s="1">
        <f t="shared" si="1"/>
        <v>9.9179296493530291</v>
      </c>
    </row>
    <row r="20" spans="1:29" x14ac:dyDescent="0.3">
      <c r="A20" t="s">
        <v>69</v>
      </c>
      <c r="B20">
        <v>9.9824342727661097</v>
      </c>
      <c r="C20" t="s">
        <v>27</v>
      </c>
      <c r="D20">
        <v>96</v>
      </c>
      <c r="E20" t="s">
        <v>69</v>
      </c>
      <c r="F20" t="s">
        <v>70</v>
      </c>
      <c r="G20" t="s">
        <v>29</v>
      </c>
      <c r="H20">
        <v>1</v>
      </c>
      <c r="I20">
        <v>75</v>
      </c>
      <c r="J20">
        <v>4.9810601641091599E-2</v>
      </c>
      <c r="K20" t="s">
        <v>34</v>
      </c>
      <c r="L20">
        <v>0.31692913385826799</v>
      </c>
      <c r="M20" t="s">
        <v>31</v>
      </c>
      <c r="N20">
        <v>1</v>
      </c>
      <c r="P20">
        <v>1</v>
      </c>
      <c r="R20">
        <v>1</v>
      </c>
      <c r="T20">
        <v>1</v>
      </c>
      <c r="V20">
        <v>1</v>
      </c>
      <c r="X20">
        <v>1</v>
      </c>
      <c r="Z20">
        <v>1</v>
      </c>
      <c r="AA20">
        <v>1.5786430835070399E-2</v>
      </c>
      <c r="AB20" s="1">
        <f t="shared" si="0"/>
        <v>2.3750929953662605</v>
      </c>
      <c r="AC20" s="1">
        <f t="shared" si="1"/>
        <v>9.9824342727661097</v>
      </c>
    </row>
    <row r="21" spans="1:29" x14ac:dyDescent="0.3">
      <c r="A21" t="s">
        <v>71</v>
      </c>
      <c r="B21">
        <v>10.0248517990112</v>
      </c>
      <c r="C21" t="s">
        <v>27</v>
      </c>
      <c r="D21">
        <v>96</v>
      </c>
      <c r="E21" t="s">
        <v>71</v>
      </c>
      <c r="F21" t="s">
        <v>72</v>
      </c>
      <c r="G21" t="s">
        <v>29</v>
      </c>
      <c r="H21">
        <v>1</v>
      </c>
      <c r="I21">
        <v>60</v>
      </c>
      <c r="J21">
        <v>0.10257075218042799</v>
      </c>
      <c r="K21" t="s">
        <v>42</v>
      </c>
      <c r="L21">
        <v>0.40354330708661501</v>
      </c>
      <c r="M21" t="s">
        <v>31</v>
      </c>
      <c r="N21">
        <v>1</v>
      </c>
      <c r="P21">
        <v>1</v>
      </c>
      <c r="R21">
        <v>1</v>
      </c>
      <c r="T21">
        <v>1</v>
      </c>
      <c r="V21">
        <v>1</v>
      </c>
      <c r="X21">
        <v>1</v>
      </c>
      <c r="Z21">
        <v>1</v>
      </c>
      <c r="AA21">
        <v>4.1391740545251403E-2</v>
      </c>
      <c r="AB21" s="1">
        <f t="shared" si="0"/>
        <v>2.5171824588520102</v>
      </c>
      <c r="AC21" s="1">
        <f t="shared" si="1"/>
        <v>10.0248517990112</v>
      </c>
    </row>
    <row r="22" spans="1:29" x14ac:dyDescent="0.3">
      <c r="A22" t="s">
        <v>73</v>
      </c>
      <c r="B22">
        <v>10.0264139175415</v>
      </c>
      <c r="C22" t="s">
        <v>27</v>
      </c>
      <c r="D22">
        <v>96</v>
      </c>
      <c r="E22" t="s">
        <v>73</v>
      </c>
      <c r="F22" t="s">
        <v>74</v>
      </c>
      <c r="G22" t="s">
        <v>37</v>
      </c>
      <c r="H22">
        <v>1</v>
      </c>
      <c r="I22">
        <v>70</v>
      </c>
      <c r="J22">
        <v>0.18224237011401201</v>
      </c>
      <c r="K22" t="s">
        <v>30</v>
      </c>
      <c r="L22">
        <v>0.22680412371134101</v>
      </c>
      <c r="M22" t="s">
        <v>31</v>
      </c>
      <c r="N22">
        <v>1</v>
      </c>
      <c r="P22">
        <v>1</v>
      </c>
      <c r="R22">
        <v>1</v>
      </c>
      <c r="T22">
        <v>1</v>
      </c>
      <c r="V22">
        <v>1</v>
      </c>
      <c r="X22">
        <v>1</v>
      </c>
      <c r="Z22">
        <v>1</v>
      </c>
      <c r="AA22">
        <v>4.13333210567862E-2</v>
      </c>
      <c r="AB22" s="1">
        <f t="shared" si="0"/>
        <v>2.9628715870557789</v>
      </c>
      <c r="AC22" s="1">
        <f t="shared" si="1"/>
        <v>10.0264139175415</v>
      </c>
    </row>
    <row r="23" spans="1:29" x14ac:dyDescent="0.3">
      <c r="A23" t="s">
        <v>75</v>
      </c>
      <c r="B23">
        <v>10.0752830505371</v>
      </c>
      <c r="C23" t="s">
        <v>27</v>
      </c>
      <c r="D23">
        <v>96</v>
      </c>
      <c r="E23" t="s">
        <v>75</v>
      </c>
      <c r="F23" t="s">
        <v>76</v>
      </c>
      <c r="G23" t="s">
        <v>37</v>
      </c>
      <c r="H23">
        <v>1</v>
      </c>
      <c r="I23">
        <v>85</v>
      </c>
      <c r="J23">
        <v>8.0236550310587101E-2</v>
      </c>
      <c r="K23" t="s">
        <v>34</v>
      </c>
      <c r="L23">
        <v>0.31786941580756001</v>
      </c>
      <c r="M23" t="s">
        <v>31</v>
      </c>
      <c r="N23">
        <v>1</v>
      </c>
      <c r="P23">
        <v>1</v>
      </c>
      <c r="R23">
        <v>1</v>
      </c>
      <c r="T23">
        <v>1</v>
      </c>
      <c r="V23">
        <v>1</v>
      </c>
      <c r="X23">
        <v>1</v>
      </c>
      <c r="Z23">
        <v>1</v>
      </c>
      <c r="AA23">
        <v>2.5504745373640201E-2</v>
      </c>
      <c r="AB23" s="1">
        <f t="shared" si="0"/>
        <v>3.5561965420713491</v>
      </c>
      <c r="AC23" s="1">
        <f t="shared" si="1"/>
        <v>10.0752830505371</v>
      </c>
    </row>
    <row r="24" spans="1:29" x14ac:dyDescent="0.3">
      <c r="A24" t="s">
        <v>77</v>
      </c>
      <c r="B24">
        <v>10.103105545043899</v>
      </c>
      <c r="C24" t="s">
        <v>27</v>
      </c>
      <c r="D24">
        <v>96</v>
      </c>
      <c r="E24" t="s">
        <v>77</v>
      </c>
      <c r="F24" t="s">
        <v>78</v>
      </c>
      <c r="G24" t="s">
        <v>29</v>
      </c>
      <c r="H24">
        <v>1</v>
      </c>
      <c r="I24">
        <v>75</v>
      </c>
      <c r="J24">
        <v>4.9810601641091599E-2</v>
      </c>
      <c r="K24" t="s">
        <v>30</v>
      </c>
      <c r="L24">
        <v>0.279527559055118</v>
      </c>
      <c r="M24" t="s">
        <v>31</v>
      </c>
      <c r="N24">
        <v>1</v>
      </c>
      <c r="P24">
        <v>1</v>
      </c>
      <c r="R24">
        <v>1</v>
      </c>
      <c r="T24">
        <v>1</v>
      </c>
      <c r="V24">
        <v>1</v>
      </c>
      <c r="X24">
        <v>1</v>
      </c>
      <c r="Z24">
        <v>1</v>
      </c>
      <c r="AA24">
        <v>1.39234358918012E-2</v>
      </c>
      <c r="AB24" s="1">
        <f t="shared" si="0"/>
        <v>4.0327304683005361</v>
      </c>
      <c r="AC24" s="1">
        <f t="shared" si="1"/>
        <v>10.103105545043899</v>
      </c>
    </row>
    <row r="25" spans="1:29" x14ac:dyDescent="0.3">
      <c r="A25" t="s">
        <v>79</v>
      </c>
      <c r="B25">
        <v>10.1500253677368</v>
      </c>
      <c r="C25" t="s">
        <v>27</v>
      </c>
      <c r="D25">
        <v>96</v>
      </c>
      <c r="E25" t="s">
        <v>79</v>
      </c>
      <c r="F25" t="s">
        <v>80</v>
      </c>
      <c r="G25" t="s">
        <v>37</v>
      </c>
      <c r="H25">
        <v>1</v>
      </c>
      <c r="I25">
        <v>70</v>
      </c>
      <c r="J25">
        <v>0.18224237011401201</v>
      </c>
      <c r="K25" t="s">
        <v>42</v>
      </c>
      <c r="L25">
        <v>0.45532646048109998</v>
      </c>
      <c r="M25" t="s">
        <v>31</v>
      </c>
      <c r="N25">
        <v>1</v>
      </c>
      <c r="P25">
        <v>1</v>
      </c>
      <c r="R25">
        <v>1</v>
      </c>
      <c r="T25">
        <v>1</v>
      </c>
      <c r="V25">
        <v>1</v>
      </c>
      <c r="X25">
        <v>1</v>
      </c>
      <c r="Z25">
        <v>1</v>
      </c>
      <c r="AA25">
        <v>8.2979773333699505E-2</v>
      </c>
      <c r="AB25" s="1">
        <f t="shared" si="0"/>
        <v>4.3424181032294404</v>
      </c>
      <c r="AC25" s="1">
        <f t="shared" si="1"/>
        <v>10.1500253677368</v>
      </c>
    </row>
    <row r="26" spans="1:29" x14ac:dyDescent="0.3">
      <c r="A26" t="s">
        <v>81</v>
      </c>
      <c r="B26">
        <v>10.193510055541999</v>
      </c>
      <c r="C26" t="s">
        <v>27</v>
      </c>
      <c r="D26">
        <v>96</v>
      </c>
      <c r="E26" t="s">
        <v>81</v>
      </c>
      <c r="F26" t="s">
        <v>82</v>
      </c>
      <c r="G26" t="s">
        <v>29</v>
      </c>
      <c r="H26">
        <v>1</v>
      </c>
      <c r="I26">
        <v>75</v>
      </c>
      <c r="J26">
        <v>4.9810601641091599E-2</v>
      </c>
      <c r="K26" t="s">
        <v>42</v>
      </c>
      <c r="L26">
        <v>0.40354330708661501</v>
      </c>
      <c r="M26" t="s">
        <v>31</v>
      </c>
      <c r="N26">
        <v>1</v>
      </c>
      <c r="P26">
        <v>1</v>
      </c>
      <c r="R26">
        <v>1</v>
      </c>
      <c r="T26">
        <v>1</v>
      </c>
      <c r="V26">
        <v>1</v>
      </c>
      <c r="X26">
        <v>1</v>
      </c>
      <c r="Z26">
        <v>1</v>
      </c>
      <c r="AA26">
        <v>2.0100734914220101E-2</v>
      </c>
      <c r="AB26" s="1">
        <f t="shared" si="0"/>
        <v>7.6381106308488533</v>
      </c>
      <c r="AC26" s="1">
        <f t="shared" si="1"/>
        <v>10.193510055541999</v>
      </c>
    </row>
    <row r="27" spans="1:29" x14ac:dyDescent="0.3">
      <c r="A27" t="s">
        <v>83</v>
      </c>
      <c r="B27">
        <v>10.204674720764199</v>
      </c>
      <c r="C27" t="s">
        <v>27</v>
      </c>
      <c r="D27">
        <v>96</v>
      </c>
      <c r="E27" t="s">
        <v>83</v>
      </c>
      <c r="F27" t="s">
        <v>84</v>
      </c>
      <c r="G27" t="s">
        <v>37</v>
      </c>
      <c r="H27">
        <v>1</v>
      </c>
      <c r="I27">
        <v>85</v>
      </c>
      <c r="J27">
        <v>8.0236550310587101E-2</v>
      </c>
      <c r="K27" t="s">
        <v>30</v>
      </c>
      <c r="L27">
        <v>0.22680412371134101</v>
      </c>
      <c r="M27" t="s">
        <v>31</v>
      </c>
      <c r="N27">
        <v>1</v>
      </c>
      <c r="P27">
        <v>1</v>
      </c>
      <c r="R27">
        <v>1</v>
      </c>
      <c r="T27">
        <v>1</v>
      </c>
      <c r="V27">
        <v>1</v>
      </c>
      <c r="X27">
        <v>1</v>
      </c>
      <c r="Z27">
        <v>1</v>
      </c>
      <c r="AA27">
        <v>1.8197980482813601E-2</v>
      </c>
      <c r="AB27" s="1">
        <f t="shared" si="0"/>
        <v>9.23629132905441</v>
      </c>
      <c r="AC27" s="1">
        <f t="shared" si="1"/>
        <v>10.204674720764199</v>
      </c>
    </row>
    <row r="28" spans="1:29" x14ac:dyDescent="0.3">
      <c r="A28" t="s">
        <v>85</v>
      </c>
      <c r="B28">
        <v>10.2072601318359</v>
      </c>
      <c r="C28" t="s">
        <v>27</v>
      </c>
      <c r="D28">
        <v>96</v>
      </c>
      <c r="E28" t="s">
        <v>85</v>
      </c>
      <c r="F28" t="s">
        <v>86</v>
      </c>
      <c r="G28" t="s">
        <v>37</v>
      </c>
      <c r="H28">
        <v>1</v>
      </c>
      <c r="I28">
        <v>100</v>
      </c>
      <c r="J28">
        <v>4.7881636830487698E-2</v>
      </c>
      <c r="K28" t="s">
        <v>34</v>
      </c>
      <c r="L28">
        <v>0.31786941580756001</v>
      </c>
      <c r="M28" t="s">
        <v>31</v>
      </c>
      <c r="N28">
        <v>1</v>
      </c>
      <c r="P28">
        <v>1</v>
      </c>
      <c r="R28">
        <v>1</v>
      </c>
      <c r="T28">
        <v>1</v>
      </c>
      <c r="V28">
        <v>1</v>
      </c>
      <c r="X28">
        <v>1</v>
      </c>
      <c r="Z28">
        <v>1</v>
      </c>
      <c r="AA28">
        <v>1.5220107927216901E-2</v>
      </c>
      <c r="AB28" s="1">
        <f t="shared" si="0"/>
        <v>11.338822696391977</v>
      </c>
      <c r="AC28" s="1">
        <f t="shared" si="1"/>
        <v>10.2072601318359</v>
      </c>
    </row>
    <row r="29" spans="1:29" x14ac:dyDescent="0.3">
      <c r="A29" t="s">
        <v>87</v>
      </c>
      <c r="B29">
        <v>10.259473800659199</v>
      </c>
      <c r="C29" t="s">
        <v>27</v>
      </c>
      <c r="D29">
        <v>96</v>
      </c>
      <c r="E29" t="s">
        <v>87</v>
      </c>
      <c r="F29" t="s">
        <v>88</v>
      </c>
      <c r="G29" t="s">
        <v>37</v>
      </c>
      <c r="H29">
        <v>1</v>
      </c>
      <c r="I29">
        <v>85</v>
      </c>
      <c r="J29">
        <v>8.0236550310587101E-2</v>
      </c>
      <c r="K29" t="s">
        <v>42</v>
      </c>
      <c r="L29">
        <v>0.45532646048109998</v>
      </c>
      <c r="M29" t="s">
        <v>31</v>
      </c>
      <c r="N29">
        <v>1</v>
      </c>
      <c r="P29">
        <v>1</v>
      </c>
      <c r="R29">
        <v>1</v>
      </c>
      <c r="T29">
        <v>1</v>
      </c>
      <c r="V29">
        <v>1</v>
      </c>
      <c r="X29">
        <v>1</v>
      </c>
      <c r="Z29">
        <v>1</v>
      </c>
      <c r="AA29">
        <v>3.65338244541333E-2</v>
      </c>
      <c r="AB29" s="1">
        <f t="shared" si="0"/>
        <v>13.945862488266942</v>
      </c>
      <c r="AC29" s="1">
        <f t="shared" si="1"/>
        <v>10.259473800659199</v>
      </c>
    </row>
    <row r="30" spans="1:29" x14ac:dyDescent="0.3">
      <c r="A30" t="s">
        <v>89</v>
      </c>
      <c r="B30">
        <v>10.2976064682007</v>
      </c>
      <c r="C30" t="s">
        <v>27</v>
      </c>
      <c r="D30">
        <v>96</v>
      </c>
      <c r="E30" t="s">
        <v>89</v>
      </c>
      <c r="F30" t="s">
        <v>90</v>
      </c>
      <c r="G30" t="s">
        <v>37</v>
      </c>
      <c r="H30">
        <v>1</v>
      </c>
      <c r="I30">
        <v>100</v>
      </c>
      <c r="J30">
        <v>4.7881636830487698E-2</v>
      </c>
      <c r="K30" t="s">
        <v>30</v>
      </c>
      <c r="L30">
        <v>0.22680412371134101</v>
      </c>
      <c r="M30" t="s">
        <v>31</v>
      </c>
      <c r="N30">
        <v>1</v>
      </c>
      <c r="P30">
        <v>1</v>
      </c>
      <c r="R30">
        <v>1</v>
      </c>
      <c r="T30">
        <v>1</v>
      </c>
      <c r="V30">
        <v>1</v>
      </c>
      <c r="X30">
        <v>1</v>
      </c>
      <c r="Z30">
        <v>1</v>
      </c>
      <c r="AA30">
        <v>1.08597526832034E-2</v>
      </c>
      <c r="AB30" s="1">
        <f t="shared" si="0"/>
        <v>30.11429311800844</v>
      </c>
      <c r="AC30" s="1">
        <f t="shared" si="1"/>
        <v>10.2976064682007</v>
      </c>
    </row>
    <row r="31" spans="1:29" x14ac:dyDescent="0.3">
      <c r="A31" t="s">
        <v>91</v>
      </c>
      <c r="B31">
        <v>10.3344402313232</v>
      </c>
      <c r="C31" t="s">
        <v>27</v>
      </c>
      <c r="D31">
        <v>96</v>
      </c>
      <c r="E31" t="s">
        <v>91</v>
      </c>
      <c r="F31" t="s">
        <v>92</v>
      </c>
      <c r="G31" t="s">
        <v>37</v>
      </c>
      <c r="H31">
        <v>1</v>
      </c>
      <c r="I31">
        <v>100</v>
      </c>
      <c r="J31">
        <v>4.7881636830487698E-2</v>
      </c>
      <c r="K31" t="s">
        <v>42</v>
      </c>
      <c r="L31">
        <v>0.45532646048109998</v>
      </c>
      <c r="M31" t="s">
        <v>31</v>
      </c>
      <c r="N31">
        <v>1</v>
      </c>
      <c r="P31">
        <v>1</v>
      </c>
      <c r="R31">
        <v>1</v>
      </c>
      <c r="T31">
        <v>1</v>
      </c>
      <c r="V31">
        <v>1</v>
      </c>
      <c r="X31">
        <v>1</v>
      </c>
      <c r="Z31">
        <v>1</v>
      </c>
      <c r="AA31">
        <v>2.1801776220067501E-2</v>
      </c>
      <c r="AB31" s="1">
        <f t="shared" si="0"/>
        <v>45.365985517944232</v>
      </c>
      <c r="AC31" s="1">
        <f t="shared" si="1"/>
        <v>10.3344402313232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GFE100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Siebe Bosch</dc:creator>
  <cp:lastModifiedBy>Berendsen -  Sloot, Anouk</cp:lastModifiedBy>
  <dcterms:created xsi:type="dcterms:W3CDTF">2018-04-05T13:13:00Z</dcterms:created>
  <dcterms:modified xsi:type="dcterms:W3CDTF">2018-06-05T11:14:36Z</dcterms:modified>
</cp:coreProperties>
</file>